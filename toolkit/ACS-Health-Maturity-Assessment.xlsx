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file" sheetId="2" state="visible" r:id="rId2"/>
    <sheet xmlns:r="http://schemas.openxmlformats.org/officeDocument/2006/relationships" name="License Optimization" sheetId="3" state="visible" r:id="rId3"/>
    <sheet xmlns:r="http://schemas.openxmlformats.org/officeDocument/2006/relationships" name="App Modernization" sheetId="4" state="visible" r:id="rId4"/>
    <sheet xmlns:r="http://schemas.openxmlformats.org/officeDocument/2006/relationships" name="Zero Trust" sheetId="5" state="visible" r:id="rId5"/>
    <sheet xmlns:r="http://schemas.openxmlformats.org/officeDocument/2006/relationships" name="Dashboard" sheetId="6" state="visible" r:id="rId6"/>
    <sheet xmlns:r="http://schemas.openxmlformats.org/officeDocument/2006/relationships" name="Priority Gaps" sheetId="7" state="visible" r:id="rId7"/>
    <sheet xmlns:r="http://schemas.openxmlformats.org/officeDocument/2006/relationships" name="CPG Crosswalk" sheetId="8" state="visible" r:id="rId8"/>
    <sheet xmlns:r="http://schemas.openxmlformats.org/officeDocument/2006/relationships" name="App Portfolio Triage" sheetId="9" state="visible" r:id="rId9"/>
    <sheet xmlns:r="http://schemas.openxmlformats.org/officeDocument/2006/relationships" name="License-Security Map" sheetId="10" state="visible" r:id="rId10"/>
    <sheet xmlns:r="http://schemas.openxmlformats.org/officeDocument/2006/relationships" name="AllItems" sheetId="11" state="hidden" r:id="rId11"/>
    <sheet xmlns:r="http://schemas.openxmlformats.org/officeDocument/2006/relationships" name="Lists" sheetId="12" state="hidden" r:id="rId12"/>
  </sheets>
  <definedNames>
    <definedName name="_xlnm.Print_Titles" localSheetId="2">'License Optimization'!$4:$4</definedName>
    <definedName name="_xlnm.Print_Titles" localSheetId="3">'App Modernization'!$4:$4</definedName>
    <definedName name="_xlnm.Print_Titles" localSheetId="4">'Zero Trust'!$4:$4</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12">
    <font>
      <name val="Calibri"/>
      <family val="2"/>
      <color theme="1"/>
      <sz val="11"/>
      <scheme val="minor"/>
    </font>
    <font>
      <name val="Arial"/>
      <b val="1"/>
      <color rgb="000090C7"/>
      <sz val="16"/>
    </font>
    <font>
      <name val="Arial"/>
      <i val="1"/>
      <color rgb="00262626"/>
      <sz val="10"/>
    </font>
    <font>
      <name val="Arial"/>
      <b val="1"/>
      <color rgb="00262626"/>
      <sz val="10"/>
    </font>
    <font>
      <name val="Arial"/>
      <color rgb="00262626"/>
      <sz val="10"/>
    </font>
    <font>
      <name val="Arial"/>
      <b val="1"/>
      <color rgb="000090C7"/>
      <sz val="12"/>
    </font>
    <font>
      <name val="Arial"/>
      <b val="1"/>
      <color rgb="00FFFFFF"/>
      <sz val="10"/>
    </font>
    <font>
      <name val="Arial"/>
      <color rgb="00595959"/>
      <sz val="10"/>
    </font>
    <font>
      <name val="Arial"/>
      <color rgb="00A6A6A6"/>
      <sz val="10"/>
    </font>
    <font>
      <name val="Arial"/>
      <i val="1"/>
      <color rgb="00262626"/>
      <sz val="9"/>
    </font>
    <font>
      <name val="Arial"/>
      <i val="1"/>
      <color rgb="007F7F7F"/>
      <sz val="10"/>
    </font>
    <font>
      <name val="Arial"/>
      <i val="1"/>
      <color rgb="00C00000"/>
      <sz val="9"/>
    </font>
  </fonts>
  <fills count="5">
    <fill>
      <patternFill/>
    </fill>
    <fill>
      <patternFill patternType="gray125"/>
    </fill>
    <fill>
      <patternFill patternType="solid">
        <fgColor rgb="000090C7"/>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top" wrapText="1"/>
    </xf>
    <xf numFmtId="0" fontId="3" fillId="0" borderId="1" pivotButton="0" quotePrefix="0" xfId="0"/>
    <xf numFmtId="0" fontId="4" fillId="0" borderId="1" pivotButton="0" quotePrefix="0" xfId="0"/>
    <xf numFmtId="0" fontId="3" fillId="0" borderId="0" pivotButton="0" quotePrefix="0" xfId="0"/>
    <xf numFmtId="0" fontId="4" fillId="0" borderId="0" pivotButton="0" quotePrefix="0" xfId="0"/>
    <xf numFmtId="0" fontId="0" fillId="3" borderId="1" pivotButton="0" quotePrefix="0" xfId="0"/>
    <xf numFmtId="0" fontId="4" fillId="3" borderId="1" pivotButton="0" quotePrefix="0" xfId="0"/>
    <xf numFmtId="164" fontId="4" fillId="3" borderId="1" pivotButton="0" quotePrefix="0" xfId="0"/>
    <xf numFmtId="0" fontId="3" fillId="0"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4" fillId="3" borderId="1" applyAlignment="1" pivotButton="0" quotePrefix="0" xfId="0">
      <alignment vertical="top" wrapText="1"/>
    </xf>
    <xf numFmtId="0" fontId="7" fillId="4" borderId="1" applyAlignment="1" pivotButton="0" quotePrefix="0" xfId="0">
      <alignment horizontal="center" vertical="top" wrapText="1"/>
    </xf>
    <xf numFmtId="2" fontId="4" fillId="0" borderId="1" pivotButton="0" quotePrefix="0" xfId="0"/>
    <xf numFmtId="9" fontId="4" fillId="0" borderId="1" pivotButton="0" quotePrefix="0" xfId="0"/>
    <xf numFmtId="2" fontId="3" fillId="0" borderId="1" pivotButton="0" quotePrefix="0" xfId="0"/>
    <xf numFmtId="9" fontId="3" fillId="0" borderId="1" pivotButton="0" quotePrefix="0" xfId="0"/>
    <xf numFmtId="0" fontId="8" fillId="0" borderId="1" applyAlignment="1" pivotButton="0" quotePrefix="0" xfId="0">
      <alignment vertical="top" wrapText="1"/>
    </xf>
    <xf numFmtId="2" fontId="4" fillId="0" borderId="1" applyAlignment="1" pivotButton="0" quotePrefix="0" xfId="0">
      <alignment vertical="top" wrapText="1"/>
    </xf>
    <xf numFmtId="0" fontId="8" fillId="0" borderId="1" applyAlignment="1" pivotButton="0" quotePrefix="0" xfId="0">
      <alignment vertical="top"/>
    </xf>
    <xf numFmtId="0" fontId="9" fillId="0" borderId="0" pivotButton="0" quotePrefix="0" xfId="0"/>
    <xf numFmtId="0" fontId="10" fillId="3" borderId="1" applyAlignment="1" pivotButton="0" quotePrefix="0" xfId="0">
      <alignment vertical="top" wrapText="1"/>
    </xf>
    <xf numFmtId="165" fontId="10" fillId="3" borderId="1" applyAlignment="1" pivotButton="0" quotePrefix="0" xfId="0">
      <alignment vertical="top" wrapText="1"/>
    </xf>
    <xf numFmtId="0" fontId="10" fillId="4" borderId="1" applyAlignment="1" pivotButton="0" quotePrefix="0" xfId="0">
      <alignment vertical="top" wrapText="1"/>
    </xf>
    <xf numFmtId="164" fontId="10" fillId="3" borderId="1" applyAlignment="1" pivotButton="0" quotePrefix="0" xfId="0">
      <alignment vertical="top" wrapText="1"/>
    </xf>
    <xf numFmtId="165" fontId="4" fillId="3" borderId="1" applyAlignment="1" pivotButton="0" quotePrefix="0" xfId="0">
      <alignment vertical="top" wrapText="1"/>
    </xf>
    <xf numFmtId="0" fontId="4" fillId="4" borderId="1" applyAlignment="1" pivotButton="0" quotePrefix="0" xfId="0">
      <alignment vertical="top" wrapText="1"/>
    </xf>
    <xf numFmtId="164" fontId="4" fillId="3" borderId="1" applyAlignment="1" pivotButton="0" quotePrefix="0" xfId="0">
      <alignment vertical="top" wrapText="1"/>
    </xf>
    <xf numFmtId="0" fontId="11"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Maturity by service (0–4)</a:t>
            </a:r>
          </a:p>
        </rich>
      </tx>
    </title>
    <plotArea>
      <barChart>
        <barDir val="bar"/>
        <grouping val="clustered"/>
        <ser>
          <idx val="0"/>
          <order val="0"/>
          <tx>
            <strRef>
              <f>'Dashboard'!B4</f>
            </strRef>
          </tx>
          <spPr>
            <a:ln xmlns:a="http://schemas.openxmlformats.org/drawingml/2006/main">
              <a:prstDash val="solid"/>
            </a:ln>
          </spPr>
          <cat>
            <numRef>
              <f>'Dashboard'!$A$5:$A$8</f>
            </numRef>
          </cat>
          <val>
            <numRef>
              <f>'Dashboard'!$B$5:$B$8</f>
            </numRef>
          </val>
        </ser>
        <gapWidth val="150"/>
        <axId val="10"/>
        <axId val="100"/>
      </barChart>
      <catAx>
        <axId val="10"/>
        <scaling>
          <orientation val="minMax"/>
        </scaling>
        <axPos val="l"/>
        <majorTickMark val="none"/>
        <minorTickMark val="none"/>
        <crossAx val="100"/>
        <lblOffset val="100"/>
      </catAx>
      <valAx>
        <axId val="100"/>
        <scaling>
          <orientation val="minMax"/>
          <max val="4"/>
          <min val="0"/>
        </scaling>
        <axPos val="l"/>
        <majorGridlines/>
        <majorTickMark val="none"/>
        <minorTickMark val="none"/>
        <crossAx val="10"/>
        <majorUnit val="1"/>
      </valAx>
    </plotArea>
    <plotVisOnly val="1"/>
    <dispBlanksAs val="gap"/>
  </chart>
</chartSpace>
</file>

<file path=xl/charts/chart2.xml><?xml version="1.0" encoding="utf-8"?>
<chartSpace xmlns="http://schemas.openxmlformats.org/drawingml/2006/chart">
  <style val="26"/>
  <chart>
    <title>
      <tx>
        <rich>
          <a:bodyPr xmlns:a="http://schemas.openxmlformats.org/drawingml/2006/main"/>
          <a:p xmlns:a="http://schemas.openxmlformats.org/drawingml/2006/main">
            <a:pPr>
              <a:defRPr/>
            </a:pPr>
            <a:r>
              <a:t>License Optimization by dimension</a:t>
            </a:r>
          </a:p>
        </rich>
      </tx>
    </title>
    <plotArea>
      <radarChart>
        <radarStyle val="marker"/>
        <ser>
          <idx val="0"/>
          <order val="0"/>
          <tx>
            <strRef>
              <f>'Dashboard'!B16</f>
            </strRef>
          </tx>
          <spPr>
            <a:ln xmlns:a="http://schemas.openxmlformats.org/drawingml/2006/main">
              <a:prstDash val="solid"/>
            </a:ln>
          </spPr>
          <marker>
            <symbol val="none"/>
            <spPr>
              <a:ln xmlns:a="http://schemas.openxmlformats.org/drawingml/2006/main">
                <a:prstDash val="solid"/>
              </a:ln>
            </spPr>
          </marker>
          <cat>
            <numRef>
              <f>'Dashboard'!$A$17:$A$22</f>
            </numRef>
          </cat>
          <val>
            <numRef>
              <f>'Dashboard'!$B$17:$B$22</f>
            </numRef>
          </val>
        </ser>
        <axId val="10"/>
        <axId val="100"/>
      </radarChart>
      <catAx>
        <axId val="10"/>
        <scaling>
          <orientation val="minMax"/>
        </scaling>
        <axPos val="l"/>
        <majorTickMark val="none"/>
        <minorTickMark val="none"/>
        <crossAx val="100"/>
        <lblOffset val="100"/>
      </catAx>
      <valAx>
        <axId val="100"/>
        <scaling>
          <orientation val="minMax"/>
          <max val="4"/>
          <min val="0"/>
        </scaling>
        <axPos val="l"/>
        <majorGridlines/>
        <majorTickMark val="none"/>
        <minorTickMark val="none"/>
        <crossAx val="10"/>
        <majorUnit val="1"/>
      </valAx>
    </plotArea>
    <plotVisOnly val="1"/>
    <dispBlanksAs val="gap"/>
  </chart>
</chartSpace>
</file>

<file path=xl/charts/chart3.xml><?xml version="1.0" encoding="utf-8"?>
<chartSpace xmlns="http://schemas.openxmlformats.org/drawingml/2006/chart">
  <style val="26"/>
  <chart>
    <title>
      <tx>
        <rich>
          <a:bodyPr xmlns:a="http://schemas.openxmlformats.org/drawingml/2006/main"/>
          <a:p xmlns:a="http://schemas.openxmlformats.org/drawingml/2006/main">
            <a:pPr>
              <a:defRPr/>
            </a:pPr>
            <a:r>
              <a:t>App Modernization by dimension</a:t>
            </a:r>
          </a:p>
        </rich>
      </tx>
    </title>
    <plotArea>
      <radarChart>
        <radarStyle val="marker"/>
        <ser>
          <idx val="0"/>
          <order val="0"/>
          <tx>
            <strRef>
              <f>'Dashboard'!B26</f>
            </strRef>
          </tx>
          <spPr>
            <a:ln xmlns:a="http://schemas.openxmlformats.org/drawingml/2006/main">
              <a:prstDash val="solid"/>
            </a:ln>
          </spPr>
          <marker>
            <symbol val="none"/>
            <spPr>
              <a:ln xmlns:a="http://schemas.openxmlformats.org/drawingml/2006/main">
                <a:prstDash val="solid"/>
              </a:ln>
            </spPr>
          </marker>
          <cat>
            <numRef>
              <f>'Dashboard'!$A$27:$A$32</f>
            </numRef>
          </cat>
          <val>
            <numRef>
              <f>'Dashboard'!$B$27:$B$32</f>
            </numRef>
          </val>
        </ser>
        <axId val="10"/>
        <axId val="100"/>
      </radarChart>
      <catAx>
        <axId val="10"/>
        <scaling>
          <orientation val="minMax"/>
        </scaling>
        <axPos val="l"/>
        <majorTickMark val="none"/>
        <minorTickMark val="none"/>
        <crossAx val="100"/>
        <lblOffset val="100"/>
      </catAx>
      <valAx>
        <axId val="100"/>
        <scaling>
          <orientation val="minMax"/>
          <max val="4"/>
          <min val="0"/>
        </scaling>
        <axPos val="l"/>
        <majorGridlines/>
        <majorTickMark val="none"/>
        <minorTickMark val="none"/>
        <crossAx val="10"/>
        <majorUnit val="1"/>
      </valAx>
    </plotArea>
    <plotVisOnly val="1"/>
    <dispBlanksAs val="gap"/>
  </chart>
</chartSpace>
</file>

<file path=xl/charts/chart4.xml><?xml version="1.0" encoding="utf-8"?>
<chartSpace xmlns="http://schemas.openxmlformats.org/drawingml/2006/chart">
  <style val="26"/>
  <chart>
    <title>
      <tx>
        <rich>
          <a:bodyPr xmlns:a="http://schemas.openxmlformats.org/drawingml/2006/main"/>
          <a:p xmlns:a="http://schemas.openxmlformats.org/drawingml/2006/main">
            <a:pPr>
              <a:defRPr/>
            </a:pPr>
            <a:r>
              <a:t>Zero Trust by dimension</a:t>
            </a:r>
          </a:p>
        </rich>
      </tx>
    </title>
    <plotArea>
      <radarChart>
        <radarStyle val="marker"/>
        <ser>
          <idx val="0"/>
          <order val="0"/>
          <tx>
            <strRef>
              <f>'Dashboard'!B36</f>
            </strRef>
          </tx>
          <spPr>
            <a:ln xmlns:a="http://schemas.openxmlformats.org/drawingml/2006/main">
              <a:prstDash val="solid"/>
            </a:ln>
          </spPr>
          <marker>
            <symbol val="none"/>
            <spPr>
              <a:ln xmlns:a="http://schemas.openxmlformats.org/drawingml/2006/main">
                <a:prstDash val="solid"/>
              </a:ln>
            </spPr>
          </marker>
          <cat>
            <numRef>
              <f>'Dashboard'!$A$37:$A$43</f>
            </numRef>
          </cat>
          <val>
            <numRef>
              <f>'Dashboard'!$B$37:$B$43</f>
            </numRef>
          </val>
        </ser>
        <axId val="10"/>
        <axId val="100"/>
      </radarChart>
      <catAx>
        <axId val="10"/>
        <scaling>
          <orientation val="minMax"/>
        </scaling>
        <axPos val="l"/>
        <majorTickMark val="none"/>
        <minorTickMark val="none"/>
        <crossAx val="100"/>
        <lblOffset val="100"/>
      </catAx>
      <valAx>
        <axId val="100"/>
        <scaling>
          <orientation val="minMax"/>
          <max val="4"/>
          <min val="0"/>
        </scaling>
        <axPos val="l"/>
        <majorGridlines/>
        <majorTickMark val="none"/>
        <minorTickMark val="none"/>
        <crossAx val="10"/>
        <majorUnit val="1"/>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7</col>
      <colOff>0</colOff>
      <row>3</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19</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36</row>
      <rowOff>0</rowOff>
    </from>
    <ext cx="504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53</row>
      <rowOff>0</rowOff>
    </from>
    <ext cx="504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B35"/>
  <sheetViews>
    <sheetView showGridLines="0" workbookViewId="0">
      <selection activeCell="A1" sqref="A1"/>
    </sheetView>
  </sheetViews>
  <sheetFormatPr baseColWidth="8" defaultRowHeight="15"/>
  <cols>
    <col width="26" customWidth="1" min="1" max="1"/>
    <col width="95" customWidth="1" min="2" max="2"/>
  </cols>
  <sheetData>
    <row r="1">
      <c r="A1" s="1" t="inlineStr">
        <is>
          <t>ACS Health Maturity Kit — Assessment Workbook</t>
        </is>
      </c>
    </row>
    <row r="2">
      <c r="A2" s="2" t="inlineStr">
        <is>
          <t>Version 0.1.0 · 2026-10-29 · Andrade Consulting Services · Licensed under CC BY 4.0</t>
        </is>
      </c>
    </row>
    <row r="4" ht="54" customHeight="1">
      <c r="A4" s="3" t="inlineStr">
        <is>
          <t>Purpose</t>
        </is>
      </c>
      <c r="B4" s="4" t="inlineStr">
        <is>
          <t>A free self-assessment for U.S. healthcare organizations of their maturity in three areas: License Optimization, App Modernization and Zero Trust. Questions are mapped to the HHS Healthcare and Public Health Cybersecurity Performance Goals (CPGs), the HIPAA Security Rule, NIST CSF 2.0, the CISA Zero Trust Maturity Model v2.0, NIST SP 800-218 (SSDF), ISO/IEC 19770-1 and the FinOps Framework.</t>
        </is>
      </c>
    </row>
    <row r="5" ht="28" customHeight="1">
      <c r="A5" s="3" t="inlineStr">
        <is>
          <t>Who should answer</t>
        </is>
      </c>
      <c r="B5" s="4" t="inlineStr">
        <is>
          <t>The IT leader, with input from security, infrastructure, applications, procurement and clinical informatics. Answer based on evidence, not intent.</t>
        </is>
      </c>
    </row>
    <row r="6" ht="41" customHeight="1">
      <c r="A6" s="3" t="inlineStr">
        <is>
          <t>How to use</t>
        </is>
      </c>
      <c r="B6" s="4" t="inlineStr">
        <is>
          <t>1) Fill in the Profile sheet. 2) Answer every question in the three service sheets using the yellow Answer column. 3) Review the Dashboard, Priority Gaps and CPG Crosswalk sheets. 4) Use App Portfolio Triage and License-Security Map for detailed planning.</t>
        </is>
      </c>
    </row>
    <row r="7" ht="15" customHeight="1">
      <c r="A7" s="3" t="inlineStr">
        <is>
          <t>Cells to edit</t>
        </is>
      </c>
      <c r="B7" s="4" t="inlineStr">
        <is>
          <t>Only yellow cells. All other values are calculated.</t>
        </is>
      </c>
    </row>
    <row r="8" ht="15" customHeight="1">
      <c r="A8" s="3" t="inlineStr">
        <is>
          <t>Example</t>
        </is>
      </c>
      <c r="B8" s="4" t="inlineStr">
        <is>
          <t>If MFA protects remote access but not email or privileged accounts, answer ZT-01 with "2 - Developing".</t>
        </is>
      </c>
    </row>
    <row r="9" ht="15" customHeight="1">
      <c r="A9" s="3" t="inlineStr">
        <is>
          <t>Weights</t>
        </is>
      </c>
      <c r="B9" s="4" t="inlineStr">
        <is>
          <t>3 = critical to patient safety or data protection; 2 = important; 1 = foundational.</t>
        </is>
      </c>
    </row>
    <row r="10" ht="28" customHeight="1">
      <c r="A10" s="3" t="inlineStr">
        <is>
          <t>Scoring</t>
        </is>
      </c>
      <c r="B10" s="4" t="inlineStr">
        <is>
          <t>Each answer scores 0–4. Scores are weighted averages; "N/A" and blank answers are excluded. Gap points = (4 − score) × weight and rank the Priority Gaps.</t>
        </is>
      </c>
    </row>
    <row r="11" ht="15" customHeight="1">
      <c r="A11" s="3" t="inlineStr">
        <is>
          <t>Privacy</t>
        </is>
      </c>
      <c r="B11" s="4" t="inlineStr">
        <is>
          <t>Do NOT enter protected health information (PHI), passwords or network addresses in this workbook.</t>
        </is>
      </c>
    </row>
    <row r="12" ht="28" customHeight="1">
      <c r="A12" s="3" t="inlineStr">
        <is>
          <t>Disclaimer</t>
        </is>
      </c>
      <c r="B12" s="4" t="inlineStr">
        <is>
          <t>This is a self-assessment aid. It is not legal, licensing or compliance advice and does not certify compliance with HIPAA or any other requirement.</t>
        </is>
      </c>
    </row>
    <row r="13" ht="28" customHeight="1">
      <c r="A13" s="3" t="inlineStr">
        <is>
          <t>Report use and feedback</t>
        </is>
      </c>
      <c r="B13" s="4" t="inlineStr">
        <is>
          <t>Please tell us how you used the kit: open an "Adoption report" issue in the project repository. Usage reports help improve the kit for other organizations.</t>
        </is>
      </c>
    </row>
    <row r="15">
      <c r="A15" s="5" t="inlineStr">
        <is>
          <t>Maturity scale</t>
        </is>
      </c>
    </row>
    <row r="16">
      <c r="A16" s="6" t="inlineStr">
        <is>
          <t>Answer</t>
        </is>
      </c>
      <c r="B16" s="6" t="inlineStr">
        <is>
          <t>Meaning</t>
        </is>
      </c>
    </row>
    <row r="17">
      <c r="A17" s="7" t="inlineStr">
        <is>
          <t>0 - Not in place</t>
        </is>
      </c>
      <c r="B17" s="8" t="inlineStr">
        <is>
          <t>The practice does not exist.</t>
        </is>
      </c>
    </row>
    <row r="18">
      <c r="A18" s="7" t="inlineStr">
        <is>
          <t>1 - Initial</t>
        </is>
      </c>
      <c r="B18" s="8" t="inlineStr">
        <is>
          <t>Ad hoc; depends on individuals; not documented.</t>
        </is>
      </c>
    </row>
    <row r="19">
      <c r="A19" s="7" t="inlineStr">
        <is>
          <t>2 - Developing</t>
        </is>
      </c>
      <c r="B19" s="8" t="inlineStr">
        <is>
          <t>Partly implemented or documented; not applied consistently.</t>
        </is>
      </c>
    </row>
    <row r="20">
      <c r="A20" s="7" t="inlineStr">
        <is>
          <t>3 - Defined</t>
        </is>
      </c>
      <c r="B20" s="8" t="inlineStr">
        <is>
          <t>Documented and applied consistently across the organization.</t>
        </is>
      </c>
    </row>
    <row r="21">
      <c r="A21" s="7" t="inlineStr">
        <is>
          <t>4 - Optimized</t>
        </is>
      </c>
      <c r="B21" s="8" t="inlineStr">
        <is>
          <t>Measured, reviewed regularly and improved; automated where practical.</t>
        </is>
      </c>
    </row>
    <row r="23">
      <c r="A23" s="5" t="inlineStr">
        <is>
          <t>Sheets</t>
        </is>
      </c>
    </row>
    <row r="24">
      <c r="A24" s="9" t="inlineStr">
        <is>
          <t>Profile</t>
        </is>
      </c>
      <c r="B24" s="10" t="inlineStr">
        <is>
          <t>Organization context.</t>
        </is>
      </c>
    </row>
    <row r="25">
      <c r="A25" s="9" t="inlineStr">
        <is>
          <t>License Optimization</t>
        </is>
      </c>
      <c r="B25" s="10" t="inlineStr">
        <is>
          <t>24 questions on licensing governance, entitlements, usage, security value, cloud cost and programs.</t>
        </is>
      </c>
    </row>
    <row r="26">
      <c r="A26" s="9" t="inlineStr">
        <is>
          <t>App Modernization</t>
        </is>
      </c>
      <c r="B26" s="10" t="inlineStr">
        <is>
          <t>24 questions on portfolio visibility, lifecycle, roadmap, engineering, resilience and cloud readiness.</t>
        </is>
      </c>
    </row>
    <row r="27">
      <c r="A27" s="9" t="inlineStr">
        <is>
          <t>Zero Trust</t>
        </is>
      </c>
      <c r="B27" s="10" t="inlineStr">
        <is>
          <t>28 questions organized by the CISA Zero Trust Maturity Model pillars plus governance and readiness.</t>
        </is>
      </c>
    </row>
    <row r="28">
      <c r="A28" s="9" t="inlineStr">
        <is>
          <t>Dashboard</t>
        </is>
      </c>
      <c r="B28" s="10" t="inlineStr">
        <is>
          <t>Scores by service and dimension, with charts.</t>
        </is>
      </c>
    </row>
    <row r="29">
      <c r="A29" s="9" t="inlineStr">
        <is>
          <t>Priority Gaps</t>
        </is>
      </c>
      <c r="B29" s="10" t="inlineStr">
        <is>
          <t>The 20 gaps with the most gap points and the recommended action for each.</t>
        </is>
      </c>
    </row>
    <row r="30">
      <c r="A30" s="9" t="inlineStr">
        <is>
          <t>CPG Crosswalk</t>
        </is>
      </c>
      <c r="B30" s="10" t="inlineStr">
        <is>
          <t>Status against each of the 20 HHS Cybersecurity Performance Goals.</t>
        </is>
      </c>
    </row>
    <row r="31">
      <c r="A31" s="9" t="inlineStr">
        <is>
          <t>App Portfolio Triage</t>
        </is>
      </c>
      <c r="B31" s="10" t="inlineStr">
        <is>
          <t>Application inventory with risk scoring and a suggested disposition.</t>
        </is>
      </c>
    </row>
    <row r="32">
      <c r="A32" s="9" t="inlineStr">
        <is>
          <t>License-Security Map</t>
        </is>
      </c>
      <c r="B32" s="10" t="inlineStr">
        <is>
          <t>Security capabilities included in common Microsoft licenses and whether they are deployed.</t>
        </is>
      </c>
    </row>
    <row r="34">
      <c r="A34" s="5" t="inlineStr">
        <is>
          <t>Legend</t>
        </is>
      </c>
    </row>
    <row r="35">
      <c r="A35" s="11" t="inlineStr">
        <is>
          <t>Input cell</t>
        </is>
      </c>
      <c r="B35" s="10" t="inlineStr">
        <is>
          <t>Yellow cells are for your answers.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14"/>
  <sheetViews>
    <sheetView showGridLines="0" workbookViewId="0">
      <selection activeCell="A1" sqref="A1"/>
    </sheetView>
  </sheetViews>
  <sheetFormatPr baseColWidth="8" defaultRowHeight="15"/>
  <cols>
    <col width="34" customWidth="1" min="1" max="1"/>
    <col width="44" customWidth="1" min="2" max="2"/>
  </cols>
  <sheetData>
    <row r="1">
      <c r="A1" s="1" t="inlineStr">
        <is>
          <t>Organization Profile</t>
        </is>
      </c>
    </row>
    <row r="2">
      <c r="A2" s="2" t="inlineStr">
        <is>
          <t>Context for interpreting the results. Do not enter PHI.</t>
        </is>
      </c>
    </row>
    <row r="4">
      <c r="A4" s="9" t="inlineStr">
        <is>
          <t>Organization name</t>
        </is>
      </c>
      <c r="B4" s="12" t="n"/>
    </row>
    <row r="5">
      <c r="A5" s="9" t="inlineStr">
        <is>
          <t>State</t>
        </is>
      </c>
      <c r="B5" s="12" t="n"/>
    </row>
    <row r="6">
      <c r="A6" s="9" t="inlineStr">
        <is>
          <t>Organization type</t>
        </is>
      </c>
      <c r="B6" s="12" t="n"/>
    </row>
    <row r="7">
      <c r="A7" s="9" t="inlineStr">
        <is>
          <t>Licensed beds</t>
        </is>
      </c>
      <c r="B7" s="12" t="n"/>
    </row>
    <row r="8">
      <c r="A8" s="9" t="inlineStr">
        <is>
          <t>Workforce size (approx.)</t>
        </is>
      </c>
      <c r="B8" s="12" t="n"/>
    </row>
    <row r="9">
      <c r="A9" s="9" t="inlineStr">
        <is>
          <t>IT staff (FTE)</t>
        </is>
      </c>
      <c r="B9" s="12" t="n"/>
    </row>
    <row r="10">
      <c r="A10" s="9" t="inlineStr">
        <is>
          <t>Primary EHR</t>
        </is>
      </c>
      <c r="B10" s="12" t="n"/>
    </row>
    <row r="11">
      <c r="A11" s="9" t="inlineStr">
        <is>
          <t>Microsoft agreement</t>
        </is>
      </c>
      <c r="B11" s="12" t="n"/>
    </row>
    <row r="12">
      <c r="A12" s="9" t="inlineStr">
        <is>
          <t>Microsoft 365 plan</t>
        </is>
      </c>
      <c r="B12" s="12" t="n"/>
    </row>
    <row r="13">
      <c r="A13" s="9" t="inlineStr">
        <is>
          <t>Assessment date</t>
        </is>
      </c>
      <c r="B13" s="13" t="n"/>
    </row>
    <row r="14">
      <c r="A14" s="9" t="inlineStr">
        <is>
          <t>Assessed by (role)</t>
        </is>
      </c>
      <c r="B14" s="12" t="n"/>
    </row>
  </sheetData>
  <dataValidations count="3">
    <dataValidation sqref="B6" showDropDown="0" showInputMessage="0" showErrorMessage="0" allowBlank="1" errorTitle="Invalid entry" error="Choose a value from the list." type="list">
      <formula1>=Lists!$G$2:$G$8</formula1>
    </dataValidation>
    <dataValidation sqref="B11" showDropDown="0" showInputMessage="0" showErrorMessage="0" allowBlank="1" errorTitle="Invalid entry" error="Choose a value from the list." type="list">
      <formula1>=Lists!$H$2:$H$5</formula1>
    </dataValidation>
    <dataValidation sqref="B12" showDropDown="0" showInputMessage="0" showErrorMessage="0" allowBlank="1" errorTitle="Invalid entry" error="Choose a value from the list." type="list">
      <formula1>=Lists!$I$2:$I$6</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O2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6" customWidth="1" min="3" max="3"/>
    <col width="44" customWidth="1" min="4" max="4"/>
    <col width="28" customWidth="1" min="5" max="5"/>
    <col width="28" customWidth="1" min="6" max="6"/>
    <col width="26" customWidth="1" min="7" max="7"/>
    <col width="8" customWidth="1" min="8" max="8"/>
    <col width="17" customWidth="1" min="9" max="9"/>
    <col width="26" customWidth="1" min="10" max="10"/>
    <col width="40" customWidth="1" min="11" max="11"/>
    <col width="8" customWidth="1" min="12" max="12"/>
    <col width="9" customWidth="1" min="13" max="13"/>
    <col width="9" customWidth="1" min="14" max="14"/>
    <col width="9" customWidth="1" min="15" max="15"/>
  </cols>
  <sheetData>
    <row r="1">
      <c r="A1" s="1" t="inlineStr">
        <is>
          <t>License Optimization — Maturity Questionnaire</t>
        </is>
      </c>
    </row>
    <row r="2">
      <c r="A2" s="2" t="inlineStr">
        <is>
          <t>Answer each question in the yellow column using the 0–4 scale (see Start Here). Grey columns are calculated.</t>
        </is>
      </c>
    </row>
    <row r="4">
      <c r="A4" s="6" t="inlineStr">
        <is>
          <t>ID</t>
        </is>
      </c>
      <c r="B4" s="6" t="inlineStr">
        <is>
          <t>Dimension</t>
        </is>
      </c>
      <c r="C4" s="6" t="inlineStr">
        <is>
          <t>Question</t>
        </is>
      </c>
      <c r="D4" s="6" t="inlineStr">
        <is>
          <t>What “4 - Optimized” looks like</t>
        </is>
      </c>
      <c r="E4" s="6" t="inlineStr">
        <is>
          <t>Evidence to review</t>
        </is>
      </c>
      <c r="F4" s="6" t="inlineStr">
        <is>
          <t>HHS CPG mapping</t>
        </is>
      </c>
      <c r="G4" s="6" t="inlineStr">
        <is>
          <t>Other references</t>
        </is>
      </c>
      <c r="H4" s="6" t="inlineStr">
        <is>
          <t>Weight</t>
        </is>
      </c>
      <c r="I4" s="6" t="inlineStr">
        <is>
          <t>Answer</t>
        </is>
      </c>
      <c r="J4" s="6" t="inlineStr">
        <is>
          <t>Notes</t>
        </is>
      </c>
      <c r="K4" s="6" t="inlineStr">
        <is>
          <t>Recommended action if gap</t>
        </is>
      </c>
      <c r="L4" s="6" t="inlineStr">
        <is>
          <t>Score</t>
        </is>
      </c>
      <c r="M4" s="6" t="inlineStr">
        <is>
          <t>Weighted score</t>
        </is>
      </c>
      <c r="N4" s="6" t="inlineStr">
        <is>
          <t>Weight applied</t>
        </is>
      </c>
      <c r="O4" s="6" t="inlineStr">
        <is>
          <t>Gap points</t>
        </is>
      </c>
    </row>
    <row r="5" ht="54" customHeight="1">
      <c r="A5" s="14" t="inlineStr">
        <is>
          <t>LO-01</t>
        </is>
      </c>
      <c r="B5" s="15" t="inlineStr">
        <is>
          <t>Governance &amp; Ownership</t>
        </is>
      </c>
      <c r="C5" s="15" t="inlineStr">
        <is>
          <t>Is a named person accountable for software licensing, renewals and license compliance?</t>
        </is>
      </c>
      <c r="D5" s="15" t="inlineStr">
        <is>
          <t>A named software asset management (SAM) owner has defined responsibilities across procurement, IT, finance and compliance, reviewed annually by leadership.</t>
        </is>
      </c>
      <c r="E5" s="15" t="inlineStr">
        <is>
          <t>RACI or job description; SAM charter.</t>
        </is>
      </c>
      <c r="F5" s="15" t="inlineStr"/>
      <c r="G5" s="15" t="inlineStr">
        <is>
          <t>ISO/IEC 19770-1; NIST CSF 2.0 GV.RR</t>
        </is>
      </c>
      <c r="H5" s="16" t="n">
        <v>2</v>
      </c>
      <c r="I5" s="17" t="n"/>
      <c r="J5" s="17" t="n"/>
      <c r="K5" s="15" t="inlineStr">
        <is>
          <t>Appoint a SAM owner and publish a RACI covering procurement, IT, finance and compliance.</t>
        </is>
      </c>
      <c r="L5" s="18">
        <f>IF(OR(I5="",I5="N/A"),"",VALUE(LEFT(I5,1)))</f>
        <v/>
      </c>
      <c r="M5" s="18">
        <f>IF(L5="",0,L5*H5)</f>
        <v/>
      </c>
      <c r="N5" s="18">
        <f>IF(L5="",0,H5)</f>
        <v/>
      </c>
      <c r="O5" s="18">
        <f>IF(L5="",0,(4-L5)*H5)</f>
        <v/>
      </c>
    </row>
    <row r="6" ht="41" customHeight="1">
      <c r="A6" s="14" t="inlineStr">
        <is>
          <t>LO-02</t>
        </is>
      </c>
      <c r="B6" s="15" t="inlineStr">
        <is>
          <t>Governance &amp; Ownership</t>
        </is>
      </c>
      <c r="C6" s="15" t="inlineStr">
        <is>
          <t>Are licensing decisions governed by a documented policy (requests, approvals, reharvesting, retirement)?</t>
        </is>
      </c>
      <c r="D6" s="15" t="inlineStr">
        <is>
          <t>A documented policy is followed for every request, approval, reassignment and retirement of licenses, and exceptions are recorded.</t>
        </is>
      </c>
      <c r="E6" s="15" t="inlineStr">
        <is>
          <t>Licensing policy; sample approval records.</t>
        </is>
      </c>
      <c r="F6" s="15" t="inlineStr"/>
      <c r="G6" s="15" t="inlineStr">
        <is>
          <t>ISO/IEC 19770-1; NIST CSF 2.0 GV.PO</t>
        </is>
      </c>
      <c r="H6" s="16" t="n">
        <v>2</v>
      </c>
      <c r="I6" s="17" t="n"/>
      <c r="J6" s="17" t="n"/>
      <c r="K6" s="15" t="inlineStr">
        <is>
          <t>Document a licensing policy and route all requests through a single approval workflow.</t>
        </is>
      </c>
      <c r="L6" s="18">
        <f>IF(OR(I6="",I6="N/A"),"",VALUE(LEFT(I6,1)))</f>
        <v/>
      </c>
      <c r="M6" s="18">
        <f>IF(L6="",0,L6*H6)</f>
        <v/>
      </c>
      <c r="N6" s="18">
        <f>IF(L6="",0,H6)</f>
        <v/>
      </c>
      <c r="O6" s="18">
        <f>IF(L6="",0,(4-L6)*H6)</f>
        <v/>
      </c>
    </row>
    <row r="7" ht="41" customHeight="1">
      <c r="A7" s="14" t="inlineStr">
        <is>
          <t>LO-03</t>
        </is>
      </c>
      <c r="B7" s="15" t="inlineStr">
        <is>
          <t>Governance &amp; Ownership</t>
        </is>
      </c>
      <c r="C7" s="15" t="inlineStr">
        <is>
          <t>Are renewals tracked in a calendar and reviewed well before expiry?</t>
        </is>
      </c>
      <c r="D7" s="15" t="inlineStr">
        <is>
          <t>All agreements are in a renewal calendar; usage and needs are reviewed at least 120 days before each renewal.</t>
        </is>
      </c>
      <c r="E7" s="15" t="inlineStr">
        <is>
          <t>Renewal calendar; minutes of the last renewal review.</t>
        </is>
      </c>
      <c r="F7" s="15" t="inlineStr"/>
      <c r="G7" s="15" t="inlineStr">
        <is>
          <t>FinOps Framework (Operate)</t>
        </is>
      </c>
      <c r="H7" s="16" t="n">
        <v>3</v>
      </c>
      <c r="I7" s="17" t="n"/>
      <c r="J7" s="17" t="n"/>
      <c r="K7" s="15" t="inlineStr">
        <is>
          <t>Build a renewal calendar and start each renewal review 120 days before expiry.</t>
        </is>
      </c>
      <c r="L7" s="18">
        <f>IF(OR(I7="",I7="N/A"),"",VALUE(LEFT(I7,1)))</f>
        <v/>
      </c>
      <c r="M7" s="18">
        <f>IF(L7="",0,L7*H7)</f>
        <v/>
      </c>
      <c r="N7" s="18">
        <f>IF(L7="",0,H7)</f>
        <v/>
      </c>
      <c r="O7" s="18">
        <f>IF(L7="",0,(4-L7)*H7)</f>
        <v/>
      </c>
    </row>
    <row r="8" ht="41" customHeight="1">
      <c r="A8" s="14" t="inlineStr">
        <is>
          <t>LO-04</t>
        </is>
      </c>
      <c r="B8" s="15" t="inlineStr">
        <is>
          <t>Governance &amp; Ownership</t>
        </is>
      </c>
      <c r="C8" s="15" t="inlineStr">
        <is>
          <t>Is licensing cost reported to leadership with trends and per-user metrics?</t>
        </is>
      </c>
      <c r="D8" s="15" t="inlineStr">
        <is>
          <t>Leadership receives a periodic report of licensing cost, cost per user and savings achieved, and uses it in budget decisions.</t>
        </is>
      </c>
      <c r="E8" s="15" t="inlineStr">
        <is>
          <t>Latest licensing cost report.</t>
        </is>
      </c>
      <c r="F8" s="15" t="inlineStr"/>
      <c r="G8" s="15" t="inlineStr">
        <is>
          <t>FinOps Framework (Inform); NIST CSF 2.0 GV.OV</t>
        </is>
      </c>
      <c r="H8" s="16" t="n">
        <v>1</v>
      </c>
      <c r="I8" s="17" t="n"/>
      <c r="J8" s="17" t="n"/>
      <c r="K8" s="15" t="inlineStr">
        <is>
          <t>Publish a quarterly licensing cost report with cost per user and savings achieved.</t>
        </is>
      </c>
      <c r="L8" s="18">
        <f>IF(OR(I8="",I8="N/A"),"",VALUE(LEFT(I8,1)))</f>
        <v/>
      </c>
      <c r="M8" s="18">
        <f>IF(L8="",0,L8*H8)</f>
        <v/>
      </c>
      <c r="N8" s="18">
        <f>IF(L8="",0,H8)</f>
        <v/>
      </c>
      <c r="O8" s="18">
        <f>IF(L8="",0,(4-L8)*H8)</f>
        <v/>
      </c>
    </row>
    <row r="9" ht="41" customHeight="1">
      <c r="A9" s="14" t="inlineStr">
        <is>
          <t>LO-05</t>
        </is>
      </c>
      <c r="B9" s="15" t="inlineStr">
        <is>
          <t>Entitlements</t>
        </is>
      </c>
      <c r="C9" s="15" t="inlineStr">
        <is>
          <t>Is there a complete, current record of all Microsoft entitlements (agreements, products, quantities, terms)?</t>
        </is>
      </c>
      <c r="D9" s="15" t="inlineStr">
        <is>
          <t>A single repository lists every agreement, product, quantity, term and true-up obligation, reconciled after each purchase.</t>
        </is>
      </c>
      <c r="E9" s="15" t="inlineStr">
        <is>
          <t>Entitlement register; agreement documents.</t>
        </is>
      </c>
      <c r="F9" s="15" t="inlineStr"/>
      <c r="G9" s="15" t="inlineStr">
        <is>
          <t>ISO/IEC 19770-1; NIST CSF 2.0 ID.AM</t>
        </is>
      </c>
      <c r="H9" s="16" t="n">
        <v>3</v>
      </c>
      <c r="I9" s="17" t="n"/>
      <c r="J9" s="17" t="n"/>
      <c r="K9" s="15" t="inlineStr">
        <is>
          <t>Consolidate all agreements and order records into one entitlement register.</t>
        </is>
      </c>
      <c r="L9" s="18">
        <f>IF(OR(I9="",I9="N/A"),"",VALUE(LEFT(I9,1)))</f>
        <v/>
      </c>
      <c r="M9" s="18">
        <f>IF(L9="",0,L9*H9)</f>
        <v/>
      </c>
      <c r="N9" s="18">
        <f>IF(L9="",0,H9)</f>
        <v/>
      </c>
      <c r="O9" s="18">
        <f>IF(L9="",0,(4-L9)*H9)</f>
        <v/>
      </c>
    </row>
    <row r="10" ht="41" customHeight="1">
      <c r="A10" s="14" t="inlineStr">
        <is>
          <t>LO-06</t>
        </is>
      </c>
      <c r="B10" s="15" t="inlineStr">
        <is>
          <t>Entitlements</t>
        </is>
      </c>
      <c r="C10" s="15" t="inlineStr">
        <is>
          <t>Are entitlements reconciled against contracts and invoices at least annually?</t>
        </is>
      </c>
      <c r="D10" s="15" t="inlineStr">
        <is>
          <t>Entitlements, contracts and invoices are reconciled annually and discrepancies are resolved with the supplier.</t>
        </is>
      </c>
      <c r="E10" s="15" t="inlineStr">
        <is>
          <t>Last reconciliation record.</t>
        </is>
      </c>
      <c r="F10" s="15" t="inlineStr"/>
      <c r="G10" s="15" t="inlineStr">
        <is>
          <t>ISO/IEC 19770-1</t>
        </is>
      </c>
      <c r="H10" s="16" t="n">
        <v>2</v>
      </c>
      <c r="I10" s="17" t="n"/>
      <c r="J10" s="17" t="n"/>
      <c r="K10" s="15" t="inlineStr">
        <is>
          <t>Reconcile entitlements against contracts and invoices before each renewal.</t>
        </is>
      </c>
      <c r="L10" s="18">
        <f>IF(OR(I10="",I10="N/A"),"",VALUE(LEFT(I10,1)))</f>
        <v/>
      </c>
      <c r="M10" s="18">
        <f>IF(L10="",0,L10*H10)</f>
        <v/>
      </c>
      <c r="N10" s="18">
        <f>IF(L10="",0,H10)</f>
        <v/>
      </c>
      <c r="O10" s="18">
        <f>IF(L10="",0,(4-L10)*H10)</f>
        <v/>
      </c>
    </row>
    <row r="11" ht="41" customHeight="1">
      <c r="A11" s="14" t="inlineStr">
        <is>
          <t>LO-07</t>
        </is>
      </c>
      <c r="B11" s="15" t="inlineStr">
        <is>
          <t>Entitlements</t>
        </is>
      </c>
      <c r="C11" s="15" t="inlineStr">
        <is>
          <t>Are licenses for clinical and business applications (EHR modules, imaging, laboratory, revenue cycle) inventoried in the same repository?</t>
        </is>
      </c>
      <c r="D11" s="15" t="inlineStr">
        <is>
          <t>Clinical and business application licenses are recorded with the same detail as Microsoft licenses, including metrics and renewal dates.</t>
        </is>
      </c>
      <c r="E11" s="15" t="inlineStr">
        <is>
          <t>Entitlement register extract for clinical systems.</t>
        </is>
      </c>
      <c r="F11" s="15" t="inlineStr"/>
      <c r="G11" s="15" t="inlineStr">
        <is>
          <t>NIST CSF 2.0 ID.AM</t>
        </is>
      </c>
      <c r="H11" s="16" t="n">
        <v>2</v>
      </c>
      <c r="I11" s="17" t="n"/>
      <c r="J11" s="17" t="n"/>
      <c r="K11" s="15" t="inlineStr">
        <is>
          <t>Extend the entitlement register to clinical and business application licenses.</t>
        </is>
      </c>
      <c r="L11" s="18">
        <f>IF(OR(I11="",I11="N/A"),"",VALUE(LEFT(I11,1)))</f>
        <v/>
      </c>
      <c r="M11" s="18">
        <f>IF(L11="",0,L11*H11)</f>
        <v/>
      </c>
      <c r="N11" s="18">
        <f>IF(L11="",0,H11)</f>
        <v/>
      </c>
      <c r="O11" s="18">
        <f>IF(L11="",0,(4-L11)*H11)</f>
        <v/>
      </c>
    </row>
    <row r="12" ht="41" customHeight="1">
      <c r="A12" s="14" t="inlineStr">
        <is>
          <t>LO-08</t>
        </is>
      </c>
      <c r="B12" s="15" t="inlineStr">
        <is>
          <t>Entitlements</t>
        </is>
      </c>
      <c r="C12" s="15" t="inlineStr">
        <is>
          <t>Are third-party license obligations embedded in vendor systems and medical devices (e.g., bundled Windows or SQL Server) identified?</t>
        </is>
      </c>
      <c r="D12" s="15" t="inlineStr">
        <is>
          <t>Embedded software in vendor systems and devices is identified, with responsibility for licensing and updates assigned in contracts.</t>
        </is>
      </c>
      <c r="E12" s="15" t="inlineStr">
        <is>
          <t>Vendor contracts; device software inventory.</t>
        </is>
      </c>
      <c r="F12" s="15" t="inlineStr">
        <is>
          <t>CPG-E: Vendor/Supplier Cybersecurity Requirements</t>
        </is>
      </c>
      <c r="G12" s="15" t="inlineStr">
        <is>
          <t>NIST CSF 2.0 GV.SC</t>
        </is>
      </c>
      <c r="H12" s="16" t="n">
        <v>1</v>
      </c>
      <c r="I12" s="17" t="n"/>
      <c r="J12" s="17" t="n"/>
      <c r="K12" s="15" t="inlineStr">
        <is>
          <t>Identify embedded software in vendor systems and assign licensing and update responsibility in contracts.</t>
        </is>
      </c>
      <c r="L12" s="18">
        <f>IF(OR(I12="",I12="N/A"),"",VALUE(LEFT(I12,1)))</f>
        <v/>
      </c>
      <c r="M12" s="18">
        <f>IF(L12="",0,L12*H12)</f>
        <v/>
      </c>
      <c r="N12" s="18">
        <f>IF(L12="",0,H12)</f>
        <v/>
      </c>
      <c r="O12" s="18">
        <f>IF(L12="",0,(4-L12)*H12)</f>
        <v/>
      </c>
    </row>
    <row r="13" ht="41" customHeight="1">
      <c r="A13" s="14" t="inlineStr">
        <is>
          <t>LO-09</t>
        </is>
      </c>
      <c r="B13" s="15" t="inlineStr">
        <is>
          <t>Deployment &amp; Usage</t>
        </is>
      </c>
      <c r="C13" s="15" t="inlineStr">
        <is>
          <t>Is actual software deployment discovered automatically across endpoints, servers and cloud?</t>
        </is>
      </c>
      <c r="D13" s="15" t="inlineStr">
        <is>
          <t>Automated discovery covers all endpoints, servers and cloud resources and is compared with entitlements at least monthly.</t>
        </is>
      </c>
      <c r="E13" s="15" t="inlineStr">
        <is>
          <t>Discovery tool reports; coverage percentage.</t>
        </is>
      </c>
      <c r="F13" s="15" t="inlineStr">
        <is>
          <t>CPG-X: Asset Inventory</t>
        </is>
      </c>
      <c r="G13" s="15" t="inlineStr">
        <is>
          <t>NIST CSF 2.0 ID.AM</t>
        </is>
      </c>
      <c r="H13" s="16" t="n">
        <v>3</v>
      </c>
      <c r="I13" s="17" t="n"/>
      <c r="J13" s="17" t="n"/>
      <c r="K13" s="15" t="inlineStr">
        <is>
          <t>Deploy automated discovery and compare deployments with entitlements monthly.</t>
        </is>
      </c>
      <c r="L13" s="18">
        <f>IF(OR(I13="",I13="N/A"),"",VALUE(LEFT(I13,1)))</f>
        <v/>
      </c>
      <c r="M13" s="18">
        <f>IF(L13="",0,L13*H13)</f>
        <v/>
      </c>
      <c r="N13" s="18">
        <f>IF(L13="",0,H13)</f>
        <v/>
      </c>
      <c r="O13" s="18">
        <f>IF(L13="",0,(4-L13)*H13)</f>
        <v/>
      </c>
    </row>
    <row r="14" ht="28" customHeight="1">
      <c r="A14" s="14" t="inlineStr">
        <is>
          <t>LO-10</t>
        </is>
      </c>
      <c r="B14" s="15" t="inlineStr">
        <is>
          <t>Deployment &amp; Usage</t>
        </is>
      </c>
      <c r="C14" s="15" t="inlineStr">
        <is>
          <t>Is the use of assigned user licenses reviewed at least quarterly?</t>
        </is>
      </c>
      <c r="D14" s="15" t="inlineStr">
        <is>
          <t>Usage reports are reviewed quarterly and inactive or underused licenses are reassigned or downgraded.</t>
        </is>
      </c>
      <c r="E14" s="15" t="inlineStr">
        <is>
          <t>Usage reports; reassignment records.</t>
        </is>
      </c>
      <c r="F14" s="15" t="inlineStr"/>
      <c r="G14" s="15" t="inlineStr">
        <is>
          <t>FinOps Framework (Inform, Optimize)</t>
        </is>
      </c>
      <c r="H14" s="16" t="n">
        <v>3</v>
      </c>
      <c r="I14" s="17" t="n"/>
      <c r="J14" s="17" t="n"/>
      <c r="K14" s="15" t="inlineStr">
        <is>
          <t>Review user license activity quarterly and reassign or downgrade inactive licenses.</t>
        </is>
      </c>
      <c r="L14" s="18">
        <f>IF(OR(I14="",I14="N/A"),"",VALUE(LEFT(I14,1)))</f>
        <v/>
      </c>
      <c r="M14" s="18">
        <f>IF(L14="",0,L14*H14)</f>
        <v/>
      </c>
      <c r="N14" s="18">
        <f>IF(L14="",0,H14)</f>
        <v/>
      </c>
      <c r="O14" s="18">
        <f>IF(L14="",0,(4-L14)*H14)</f>
        <v/>
      </c>
    </row>
    <row r="15" ht="41" customHeight="1">
      <c r="A15" s="14" t="inlineStr">
        <is>
          <t>LO-11</t>
        </is>
      </c>
      <c r="B15" s="15" t="inlineStr">
        <is>
          <t>Deployment &amp; Usage</t>
        </is>
      </c>
      <c r="C15" s="15" t="inlineStr">
        <is>
          <t>Are the accounts and licenses of departing workforce members removed and reharvested promptly?</t>
        </is>
      </c>
      <c r="D15" s="15" t="inlineStr">
        <is>
          <t>Departures trigger account disablement and license reharvesting within one business day, verified by a periodic reconciliation with HR records.</t>
        </is>
      </c>
      <c r="E15" s="15" t="inlineStr">
        <is>
          <t>Offboarding procedure; HR-to-directory reconciliation.</t>
        </is>
      </c>
      <c r="F15" s="15" t="inlineStr">
        <is>
          <t>CPG-E: Revoke Credentials for Departing Workforce Members</t>
        </is>
      </c>
      <c r="G15" s="15" t="inlineStr">
        <is>
          <t>HIPAA 45 CFR 164.308(a)(3)(ii)(C)</t>
        </is>
      </c>
      <c r="H15" s="16" t="n">
        <v>3</v>
      </c>
      <c r="I15" s="17" t="n"/>
      <c r="J15" s="17" t="n"/>
      <c r="K15" s="15" t="inlineStr">
        <is>
          <t>Automate offboarding from HR records to disable accounts and reharvest licenses within one business day.</t>
        </is>
      </c>
      <c r="L15" s="18">
        <f>IF(OR(I15="",I15="N/A"),"",VALUE(LEFT(I15,1)))</f>
        <v/>
      </c>
      <c r="M15" s="18">
        <f>IF(L15="",0,L15*H15)</f>
        <v/>
      </c>
      <c r="N15" s="18">
        <f>IF(L15="",0,H15)</f>
        <v/>
      </c>
      <c r="O15" s="18">
        <f>IF(L15="",0,(4-L15)*H15)</f>
        <v/>
      </c>
    </row>
    <row r="16" ht="41" customHeight="1">
      <c r="A16" s="14" t="inlineStr">
        <is>
          <t>LO-12</t>
        </is>
      </c>
      <c r="B16" s="15" t="inlineStr">
        <is>
          <t>Deployment &amp; Usage</t>
        </is>
      </c>
      <c r="C16" s="15" t="inlineStr">
        <is>
          <t>Are licensing models for shared clinical devices and frontline staff applied correctly?</t>
        </is>
      </c>
      <c r="D16" s="15" t="inlineStr">
        <is>
          <t>Shared workstations, kiosks and frontline roles use the licensing models intended for them, reviewed when workflows change.</t>
        </is>
      </c>
      <c r="E16" s="15" t="inlineStr">
        <is>
          <t>Licensing assignment by role and device type.</t>
        </is>
      </c>
      <c r="F16" s="15" t="inlineStr"/>
      <c r="G16" s="15" t="inlineStr">
        <is>
          <t>ISO/IEC 19770-1</t>
        </is>
      </c>
      <c r="H16" s="16" t="n">
        <v>1</v>
      </c>
      <c r="I16" s="17" t="n"/>
      <c r="J16" s="17" t="n"/>
      <c r="K16" s="15" t="inlineStr">
        <is>
          <t>Map roles and shared devices to the appropriate licensing models and correct over- or under-licensing.</t>
        </is>
      </c>
      <c r="L16" s="18">
        <f>IF(OR(I16="",I16="N/A"),"",VALUE(LEFT(I16,1)))</f>
        <v/>
      </c>
      <c r="M16" s="18">
        <f>IF(L16="",0,L16*H16)</f>
        <v/>
      </c>
      <c r="N16" s="18">
        <f>IF(L16="",0,H16)</f>
        <v/>
      </c>
      <c r="O16" s="18">
        <f>IF(L16="",0,(4-L16)*H16)</f>
        <v/>
      </c>
    </row>
    <row r="17" ht="41" customHeight="1">
      <c r="A17" s="14" t="inlineStr">
        <is>
          <t>LO-13</t>
        </is>
      </c>
      <c r="B17" s="15" t="inlineStr">
        <is>
          <t>Security Value Realization</t>
        </is>
      </c>
      <c r="C17" s="15" t="inlineStr">
        <is>
          <t>Does the organization know which security capabilities are already included in its current licenses?</t>
        </is>
      </c>
      <c r="D17" s="15" t="inlineStr">
        <is>
          <t>A current map shows every licensed security capability (identity, endpoint, email, data protection, logging) and whether it is deployed.</t>
        </is>
      </c>
      <c r="E17" s="15" t="inlineStr">
        <is>
          <t>License-to-security capability map (see sheet License-Security Map).</t>
        </is>
      </c>
      <c r="F17" s="15" t="inlineStr">
        <is>
          <t>CPG-E: Multifactor Authentication; CPG-E: Email Security; CPG-E: Strong Encryption</t>
        </is>
      </c>
      <c r="G17" s="15" t="inlineStr">
        <is>
          <t>NIST CSF 2.0 ID.AM, PR.AA</t>
        </is>
      </c>
      <c r="H17" s="16" t="n">
        <v>3</v>
      </c>
      <c r="I17" s="17" t="n"/>
      <c r="J17" s="17" t="n"/>
      <c r="K17" s="15" t="inlineStr">
        <is>
          <t>Complete the License-Security Map sheet and confirm it with your licensing partner.</t>
        </is>
      </c>
      <c r="L17" s="18">
        <f>IF(OR(I17="",I17="N/A"),"",VALUE(LEFT(I17,1)))</f>
        <v/>
      </c>
      <c r="M17" s="18">
        <f>IF(L17="",0,L17*H17)</f>
        <v/>
      </c>
      <c r="N17" s="18">
        <f>IF(L17="",0,H17)</f>
        <v/>
      </c>
      <c r="O17" s="18">
        <f>IF(L17="",0,(4-L17)*H17)</f>
        <v/>
      </c>
    </row>
    <row r="18" ht="41" customHeight="1">
      <c r="A18" s="14" t="inlineStr">
        <is>
          <t>LO-14</t>
        </is>
      </c>
      <c r="B18" s="15" t="inlineStr">
        <is>
          <t>Security Value Realization</t>
        </is>
      </c>
      <c r="C18" s="15" t="inlineStr">
        <is>
          <t>Are licensed identity protections (multifactor authentication, conditional access) deployed to all users, including clinical and remote access?</t>
        </is>
      </c>
      <c r="D18" s="15" t="inlineStr">
        <is>
          <t>All users, including clinicians, vendors and remote users, are covered by MFA and conditional access policies that are already licensed.</t>
        </is>
      </c>
      <c r="E18" s="15" t="inlineStr">
        <is>
          <t>Identity provider reports of MFA and policy coverage.</t>
        </is>
      </c>
      <c r="F18" s="15" t="inlineStr">
        <is>
          <t>CPG-E: Multifactor Authentication</t>
        </is>
      </c>
      <c r="G18" s="15" t="inlineStr">
        <is>
          <t>HIPAA 45 CFR 164.312(d); NIST CSF 2.0 PR.AA</t>
        </is>
      </c>
      <c r="H18" s="16" t="n">
        <v>3</v>
      </c>
      <c r="I18" s="17" t="n"/>
      <c r="J18" s="17" t="n"/>
      <c r="K18" s="15" t="inlineStr">
        <is>
          <t>Deploy the MFA and conditional access capabilities you already license to 100% of users.</t>
        </is>
      </c>
      <c r="L18" s="18">
        <f>IF(OR(I18="",I18="N/A"),"",VALUE(LEFT(I18,1)))</f>
        <v/>
      </c>
      <c r="M18" s="18">
        <f>IF(L18="",0,L18*H18)</f>
        <v/>
      </c>
      <c r="N18" s="18">
        <f>IF(L18="",0,H18)</f>
        <v/>
      </c>
      <c r="O18" s="18">
        <f>IF(L18="",0,(4-L18)*H18)</f>
        <v/>
      </c>
    </row>
    <row r="19" ht="41" customHeight="1">
      <c r="A19" s="14" t="inlineStr">
        <is>
          <t>LO-15</t>
        </is>
      </c>
      <c r="B19" s="15" t="inlineStr">
        <is>
          <t>Security Value Realization</t>
        </is>
      </c>
      <c r="C19" s="15" t="inlineStr">
        <is>
          <t>Are licensed endpoint protection and device management deployed to all endpoints, including shared clinical workstations?</t>
        </is>
      </c>
      <c r="D19" s="15" t="inlineStr">
        <is>
          <t>Every supported endpoint is managed and protected by the licensed tools, with exceptions documented and compensating controls applied.</t>
        </is>
      </c>
      <c r="E19" s="15" t="inlineStr">
        <is>
          <t>Endpoint management and protection coverage reports.</t>
        </is>
      </c>
      <c r="F19" s="15" t="inlineStr">
        <is>
          <t>CPG-E: Mitigate Known Vulnerabilities; CPG-X: Configuration Management</t>
        </is>
      </c>
      <c r="G19" s="15" t="inlineStr">
        <is>
          <t>NIST CSF 2.0 PR.PS</t>
        </is>
      </c>
      <c r="H19" s="16" t="n">
        <v>3</v>
      </c>
      <c r="I19" s="17" t="n"/>
      <c r="J19" s="17" t="n"/>
      <c r="K19" s="15" t="inlineStr">
        <is>
          <t>Close coverage gaps for licensed endpoint management and protection, prioritizing clinical areas.</t>
        </is>
      </c>
      <c r="L19" s="18">
        <f>IF(OR(I19="",I19="N/A"),"",VALUE(LEFT(I19,1)))</f>
        <v/>
      </c>
      <c r="M19" s="18">
        <f>IF(L19="",0,L19*H19)</f>
        <v/>
      </c>
      <c r="N19" s="18">
        <f>IF(L19="",0,H19)</f>
        <v/>
      </c>
      <c r="O19" s="18">
        <f>IF(L19="",0,(4-L19)*H19)</f>
        <v/>
      </c>
    </row>
    <row r="20" ht="41" customHeight="1">
      <c r="A20" s="14" t="inlineStr">
        <is>
          <t>LO-16</t>
        </is>
      </c>
      <c r="B20" s="15" t="inlineStr">
        <is>
          <t>Security Value Realization</t>
        </is>
      </c>
      <c r="C20" s="15" t="inlineStr">
        <is>
          <t>Are licensed email protection and data protection features (encryption, data loss prevention, labeling) enabled for PHI?</t>
        </is>
      </c>
      <c r="D20" s="15" t="inlineStr">
        <is>
          <t>Licensed email filtering, message encryption and data loss prevention policies protect PHI in email and collaboration tools.</t>
        </is>
      </c>
      <c r="E20" s="15" t="inlineStr">
        <is>
          <t>Email security and data protection policy configuration.</t>
        </is>
      </c>
      <c r="F20" s="15" t="inlineStr">
        <is>
          <t>CPG-E: Email Security; CPG-E: Strong Encryption</t>
        </is>
      </c>
      <c r="G20" s="15" t="inlineStr">
        <is>
          <t>HIPAA 45 CFR 164.312(e)(1); NIST CSF 2.0 PR.DS</t>
        </is>
      </c>
      <c r="H20" s="16" t="n">
        <v>2</v>
      </c>
      <c r="I20" s="17" t="n"/>
      <c r="J20" s="17" t="n"/>
      <c r="K20" s="15" t="inlineStr">
        <is>
          <t>Enable licensed email protection, message encryption and DLP policies for PHI.</t>
        </is>
      </c>
      <c r="L20" s="18">
        <f>IF(OR(I20="",I20="N/A"),"",VALUE(LEFT(I20,1)))</f>
        <v/>
      </c>
      <c r="M20" s="18">
        <f>IF(L20="",0,L20*H20)</f>
        <v/>
      </c>
      <c r="N20" s="18">
        <f>IF(L20="",0,H20)</f>
        <v/>
      </c>
      <c r="O20" s="18">
        <f>IF(L20="",0,(4-L20)*H20)</f>
        <v/>
      </c>
    </row>
    <row r="21" ht="41" customHeight="1">
      <c r="A21" s="14" t="inlineStr">
        <is>
          <t>LO-17</t>
        </is>
      </c>
      <c r="B21" s="15" t="inlineStr">
        <is>
          <t>Cloud Cost</t>
        </is>
      </c>
      <c r="C21" s="15" t="inlineStr">
        <is>
          <t>Are cloud subscriptions tagged and costs allocated to departments or applications?</t>
        </is>
      </c>
      <c r="D21" s="15" t="inlineStr">
        <is>
          <t>All cloud resources carry ownership and cost-center tags, and monthly cost is allocated and reviewed by owners.</t>
        </is>
      </c>
      <c r="E21" s="15" t="inlineStr">
        <is>
          <t>Tagging policy; cost allocation report.</t>
        </is>
      </c>
      <c r="F21" s="15" t="inlineStr"/>
      <c r="G21" s="15" t="inlineStr">
        <is>
          <t>FinOps Framework (Inform)</t>
        </is>
      </c>
      <c r="H21" s="16" t="n">
        <v>2</v>
      </c>
      <c r="I21" s="17" t="n"/>
      <c r="J21" s="17" t="n"/>
      <c r="K21" s="15" t="inlineStr">
        <is>
          <t>Enforce a tagging policy and allocate cloud cost to owners monthly.</t>
        </is>
      </c>
      <c r="L21" s="18">
        <f>IF(OR(I21="",I21="N/A"),"",VALUE(LEFT(I21,1)))</f>
        <v/>
      </c>
      <c r="M21" s="18">
        <f>IF(L21="",0,L21*H21)</f>
        <v/>
      </c>
      <c r="N21" s="18">
        <f>IF(L21="",0,H21)</f>
        <v/>
      </c>
      <c r="O21" s="18">
        <f>IF(L21="",0,(4-L21)*H21)</f>
        <v/>
      </c>
    </row>
    <row r="22" ht="28" customHeight="1">
      <c r="A22" s="14" t="inlineStr">
        <is>
          <t>LO-18</t>
        </is>
      </c>
      <c r="B22" s="15" t="inlineStr">
        <is>
          <t>Cloud Cost</t>
        </is>
      </c>
      <c r="C22" s="15" t="inlineStr">
        <is>
          <t>Are reservations, savings plans and hybrid-use benefits applied where eligible?</t>
        </is>
      </c>
      <c r="D22" s="15" t="inlineStr">
        <is>
          <t>Eligible workloads use commitment discounts and existing license benefits, reviewed quarterly.</t>
        </is>
      </c>
      <c r="E22" s="15" t="inlineStr">
        <is>
          <t>Commitment coverage report.</t>
        </is>
      </c>
      <c r="F22" s="15" t="inlineStr"/>
      <c r="G22" s="15" t="inlineStr">
        <is>
          <t>FinOps Framework (Optimize)</t>
        </is>
      </c>
      <c r="H22" s="16" t="n">
        <v>2</v>
      </c>
      <c r="I22" s="17" t="n"/>
      <c r="J22" s="17" t="n"/>
      <c r="K22" s="15" t="inlineStr">
        <is>
          <t>Review eligible workloads quarterly for commitment discounts and existing-license benefits.</t>
        </is>
      </c>
      <c r="L22" s="18">
        <f>IF(OR(I22="",I22="N/A"),"",VALUE(LEFT(I22,1)))</f>
        <v/>
      </c>
      <c r="M22" s="18">
        <f>IF(L22="",0,L22*H22)</f>
        <v/>
      </c>
      <c r="N22" s="18">
        <f>IF(L22="",0,H22)</f>
        <v/>
      </c>
      <c r="O22" s="18">
        <f>IF(L22="",0,(4-L22)*H22)</f>
        <v/>
      </c>
    </row>
    <row r="23" ht="28" customHeight="1">
      <c r="A23" s="14" t="inlineStr">
        <is>
          <t>LO-19</t>
        </is>
      </c>
      <c r="B23" s="15" t="inlineStr">
        <is>
          <t>Cloud Cost</t>
        </is>
      </c>
      <c r="C23" s="15" t="inlineStr">
        <is>
          <t>Are idle or oversized cloud resources identified and rightsized at least monthly?</t>
        </is>
      </c>
      <c r="D23" s="15" t="inlineStr">
        <is>
          <t>Idle and oversized resources are detected automatically and rightsized or removed every month.</t>
        </is>
      </c>
      <c r="E23" s="15" t="inlineStr">
        <is>
          <t>Rightsizing recommendations and actions taken.</t>
        </is>
      </c>
      <c r="F23" s="15" t="inlineStr"/>
      <c r="G23" s="15" t="inlineStr">
        <is>
          <t>FinOps Framework (Optimize)</t>
        </is>
      </c>
      <c r="H23" s="16" t="n">
        <v>2</v>
      </c>
      <c r="I23" s="17" t="n"/>
      <c r="J23" s="17" t="n"/>
      <c r="K23" s="15" t="inlineStr">
        <is>
          <t>Act on rightsizing and idle-resource recommendations every month.</t>
        </is>
      </c>
      <c r="L23" s="18">
        <f>IF(OR(I23="",I23="N/A"),"",VALUE(LEFT(I23,1)))</f>
        <v/>
      </c>
      <c r="M23" s="18">
        <f>IF(L23="",0,L23*H23)</f>
        <v/>
      </c>
      <c r="N23" s="18">
        <f>IF(L23="",0,H23)</f>
        <v/>
      </c>
      <c r="O23" s="18">
        <f>IF(L23="",0,(4-L23)*H23)</f>
        <v/>
      </c>
    </row>
    <row r="24" ht="28" customHeight="1">
      <c r="A24" s="14" t="inlineStr">
        <is>
          <t>LO-20</t>
        </is>
      </c>
      <c r="B24" s="15" t="inlineStr">
        <is>
          <t>Cloud Cost</t>
        </is>
      </c>
      <c r="C24" s="15" t="inlineStr">
        <is>
          <t>Are budgets and spending alerts configured for cloud subscriptions?</t>
        </is>
      </c>
      <c r="D24" s="15" t="inlineStr">
        <is>
          <t>Every subscription has a budget and alerts routed to its owner; anomalies are investigated.</t>
        </is>
      </c>
      <c r="E24" s="15" t="inlineStr">
        <is>
          <t>Budget and alert configuration.</t>
        </is>
      </c>
      <c r="F24" s="15" t="inlineStr"/>
      <c r="G24" s="15" t="inlineStr">
        <is>
          <t>FinOps Framework (Operate)</t>
        </is>
      </c>
      <c r="H24" s="16" t="n">
        <v>1</v>
      </c>
      <c r="I24" s="17" t="n"/>
      <c r="J24" s="17" t="n"/>
      <c r="K24" s="15" t="inlineStr">
        <is>
          <t>Configure budgets and alerts for every subscription.</t>
        </is>
      </c>
      <c r="L24" s="18">
        <f>IF(OR(I24="",I24="N/A"),"",VALUE(LEFT(I24,1)))</f>
        <v/>
      </c>
      <c r="M24" s="18">
        <f>IF(L24="",0,L24*H24)</f>
        <v/>
      </c>
      <c r="N24" s="18">
        <f>IF(L24="",0,H24)</f>
        <v/>
      </c>
      <c r="O24" s="18">
        <f>IF(L24="",0,(4-L24)*H24)</f>
        <v/>
      </c>
    </row>
    <row r="25" ht="41" customHeight="1">
      <c r="A25" s="14" t="inlineStr">
        <is>
          <t>LO-21</t>
        </is>
      </c>
      <c r="B25" s="15" t="inlineStr">
        <is>
          <t>Programs &amp; Negotiation</t>
        </is>
      </c>
      <c r="C25" s="15" t="inlineStr">
        <is>
          <t>Has eligibility for nonprofit, healthcare or rural hospital licensing programs and discounts been verified?</t>
        </is>
      </c>
      <c r="D25" s="15" t="inlineStr">
        <is>
          <t>Eligibility for applicable programs (e.g., nonprofit pricing and the 2024 Microsoft program for rural hospitals) has been verified and applied.</t>
        </is>
      </c>
      <c r="E25" s="15" t="inlineStr">
        <is>
          <t>Eligibility confirmation; program enrollment.</t>
        </is>
      </c>
      <c r="F25" s="15" t="inlineStr"/>
      <c r="G25" s="15" t="inlineStr">
        <is>
          <t>AHA, June 10, 2024 (Microsoft rural hospital program)</t>
        </is>
      </c>
      <c r="H25" s="16" t="n">
        <v>2</v>
      </c>
      <c r="I25" s="17" t="n"/>
      <c r="J25" s="17" t="n"/>
      <c r="K25" s="15" t="inlineStr">
        <is>
          <t>Verify eligibility for nonprofit and rural hospital programs and enroll where eligible.</t>
        </is>
      </c>
      <c r="L25" s="18">
        <f>IF(OR(I25="",I25="N/A"),"",VALUE(LEFT(I25,1)))</f>
        <v/>
      </c>
      <c r="M25" s="18">
        <f>IF(L25="",0,L25*H25)</f>
        <v/>
      </c>
      <c r="N25" s="18">
        <f>IF(L25="",0,H25)</f>
        <v/>
      </c>
      <c r="O25" s="18">
        <f>IF(L25="",0,(4-L25)*H25)</f>
        <v/>
      </c>
    </row>
    <row r="26" ht="41" customHeight="1">
      <c r="A26" s="14" t="inlineStr">
        <is>
          <t>LO-22</t>
        </is>
      </c>
      <c r="B26" s="15" t="inlineStr">
        <is>
          <t>Programs &amp; Negotiation</t>
        </is>
      </c>
      <c r="C26" s="15" t="inlineStr">
        <is>
          <t>Is the agreement type (e.g., Enterprise Agreement, CSP, MCA) reviewed against current size and needs before renewal?</t>
        </is>
      </c>
      <c r="D26" s="15" t="inlineStr">
        <is>
          <t>Before each renewal, the agreement type and product mix are compared with alternatives and current needs.</t>
        </is>
      </c>
      <c r="E26" s="15" t="inlineStr">
        <is>
          <t>Renewal analysis.</t>
        </is>
      </c>
      <c r="F26" s="15" t="inlineStr"/>
      <c r="G26" s="15" t="inlineStr">
        <is>
          <t>FinOps Framework (Optimize)</t>
        </is>
      </c>
      <c r="H26" s="16" t="n">
        <v>2</v>
      </c>
      <c r="I26" s="17" t="n"/>
      <c r="J26" s="17" t="n"/>
      <c r="K26" s="15" t="inlineStr">
        <is>
          <t>Compare agreement types and product mix before each renewal.</t>
        </is>
      </c>
      <c r="L26" s="18">
        <f>IF(OR(I26="",I26="N/A"),"",VALUE(LEFT(I26,1)))</f>
        <v/>
      </c>
      <c r="M26" s="18">
        <f>IF(L26="",0,L26*H26)</f>
        <v/>
      </c>
      <c r="N26" s="18">
        <f>IF(L26="",0,H26)</f>
        <v/>
      </c>
      <c r="O26" s="18">
        <f>IF(L26="",0,(4-L26)*H26)</f>
        <v/>
      </c>
    </row>
    <row r="27" ht="41" customHeight="1">
      <c r="A27" s="14" t="inlineStr">
        <is>
          <t>LO-23</t>
        </is>
      </c>
      <c r="B27" s="15" t="inlineStr">
        <is>
          <t>Programs &amp; Negotiation</t>
        </is>
      </c>
      <c r="C27" s="15" t="inlineStr">
        <is>
          <t>Are savings from license optimization reinvested in documented security or modernization priorities?</t>
        </is>
      </c>
      <c r="D27" s="15" t="inlineStr">
        <is>
          <t>Savings are tracked and reinvested through documented decisions in security and modernization priorities.</t>
        </is>
      </c>
      <c r="E27" s="15" t="inlineStr">
        <is>
          <t>Budget decisions referencing savings.</t>
        </is>
      </c>
      <c r="F27" s="15" t="inlineStr"/>
      <c r="G27" s="15" t="inlineStr">
        <is>
          <t>NIST CSF 2.0 GV.RM</t>
        </is>
      </c>
      <c r="H27" s="16" t="n">
        <v>1</v>
      </c>
      <c r="I27" s="17" t="n"/>
      <c r="J27" s="17" t="n"/>
      <c r="K27" s="15" t="inlineStr">
        <is>
          <t>Track savings and earmark them for the highest-priority security and modernization gaps.</t>
        </is>
      </c>
      <c r="L27" s="18">
        <f>IF(OR(I27="",I27="N/A"),"",VALUE(LEFT(I27,1)))</f>
        <v/>
      </c>
      <c r="M27" s="18">
        <f>IF(L27="",0,L27*H27)</f>
        <v/>
      </c>
      <c r="N27" s="18">
        <f>IF(L27="",0,H27)</f>
        <v/>
      </c>
      <c r="O27" s="18">
        <f>IF(L27="",0,(4-L27)*H27)</f>
        <v/>
      </c>
    </row>
    <row r="28" ht="41" customHeight="1">
      <c r="A28" s="14" t="inlineStr">
        <is>
          <t>LO-24</t>
        </is>
      </c>
      <c r="B28" s="15" t="inlineStr">
        <is>
          <t>Programs &amp; Negotiation</t>
        </is>
      </c>
      <c r="C28" s="15" t="inlineStr">
        <is>
          <t>Is license compliance risk assessed with a defensible effective license position?</t>
        </is>
      </c>
      <c r="D28" s="15" t="inlineStr">
        <is>
          <t>An effective license position is maintained for major vendors and audit exposure is known and managed.</t>
        </is>
      </c>
      <c r="E28" s="15" t="inlineStr">
        <is>
          <t>Effective license position report.</t>
        </is>
      </c>
      <c r="F28" s="15" t="inlineStr"/>
      <c r="G28" s="15" t="inlineStr">
        <is>
          <t>ISO/IEC 19770-1</t>
        </is>
      </c>
      <c r="H28" s="16" t="n">
        <v>2</v>
      </c>
      <c r="I28" s="17" t="n"/>
      <c r="J28" s="17" t="n"/>
      <c r="K28" s="15" t="inlineStr">
        <is>
          <t>Produce an effective license position for major vendors and address shortfalls.</t>
        </is>
      </c>
      <c r="L28" s="18">
        <f>IF(OR(I28="",I28="N/A"),"",VALUE(LEFT(I28,1)))</f>
        <v/>
      </c>
      <c r="M28" s="18">
        <f>IF(L28="",0,L28*H28)</f>
        <v/>
      </c>
      <c r="N28" s="18">
        <f>IF(L28="",0,H28)</f>
        <v/>
      </c>
      <c r="O28" s="18">
        <f>IF(L28="",0,(4-L28)*H28)</f>
        <v/>
      </c>
    </row>
  </sheetData>
  <conditionalFormatting sqref="L5:L28">
    <cfRule type="cellIs" priority="1" operator="between" dxfId="0">
      <formula>0</formula>
      <formula>1</formula>
    </cfRule>
    <cfRule type="cellIs" priority="2" operator="equal" dxfId="1">
      <formula>2</formula>
    </cfRule>
    <cfRule type="cellIs" priority="3" operator="between" dxfId="2">
      <formula>3</formula>
      <formula>4</formula>
    </cfRule>
  </conditionalFormatting>
  <dataValidations count="1">
    <dataValidation sqref="I5:I28" showDropDown="0" showInputMessage="0" showErrorMessage="0" allowBlank="1" errorTitle="Invalid entry" error="Choose a value from the list." type="list">
      <formula1>=Lists!$A$2:$A$7</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O2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6" customWidth="1" min="3" max="3"/>
    <col width="44" customWidth="1" min="4" max="4"/>
    <col width="28" customWidth="1" min="5" max="5"/>
    <col width="28" customWidth="1" min="6" max="6"/>
    <col width="26" customWidth="1" min="7" max="7"/>
    <col width="8" customWidth="1" min="8" max="8"/>
    <col width="17" customWidth="1" min="9" max="9"/>
    <col width="26" customWidth="1" min="10" max="10"/>
    <col width="40" customWidth="1" min="11" max="11"/>
    <col width="8" customWidth="1" min="12" max="12"/>
    <col width="9" customWidth="1" min="13" max="13"/>
    <col width="9" customWidth="1" min="14" max="14"/>
    <col width="9" customWidth="1" min="15" max="15"/>
  </cols>
  <sheetData>
    <row r="1">
      <c r="A1" s="1" t="inlineStr">
        <is>
          <t>App Modernization — Maturity Questionnaire</t>
        </is>
      </c>
    </row>
    <row r="2">
      <c r="A2" s="2" t="inlineStr">
        <is>
          <t>Answer each question in the yellow column using the 0–4 scale (see Start Here). Grey columns are calculated.</t>
        </is>
      </c>
    </row>
    <row r="4">
      <c r="A4" s="6" t="inlineStr">
        <is>
          <t>ID</t>
        </is>
      </c>
      <c r="B4" s="6" t="inlineStr">
        <is>
          <t>Dimension</t>
        </is>
      </c>
      <c r="C4" s="6" t="inlineStr">
        <is>
          <t>Question</t>
        </is>
      </c>
      <c r="D4" s="6" t="inlineStr">
        <is>
          <t>What “4 - Optimized” looks like</t>
        </is>
      </c>
      <c r="E4" s="6" t="inlineStr">
        <is>
          <t>Evidence to review</t>
        </is>
      </c>
      <c r="F4" s="6" t="inlineStr">
        <is>
          <t>HHS CPG mapping</t>
        </is>
      </c>
      <c r="G4" s="6" t="inlineStr">
        <is>
          <t>Other references</t>
        </is>
      </c>
      <c r="H4" s="6" t="inlineStr">
        <is>
          <t>Weight</t>
        </is>
      </c>
      <c r="I4" s="6" t="inlineStr">
        <is>
          <t>Answer</t>
        </is>
      </c>
      <c r="J4" s="6" t="inlineStr">
        <is>
          <t>Notes</t>
        </is>
      </c>
      <c r="K4" s="6" t="inlineStr">
        <is>
          <t>Recommended action if gap</t>
        </is>
      </c>
      <c r="L4" s="6" t="inlineStr">
        <is>
          <t>Score</t>
        </is>
      </c>
      <c r="M4" s="6" t="inlineStr">
        <is>
          <t>Weighted score</t>
        </is>
      </c>
      <c r="N4" s="6" t="inlineStr">
        <is>
          <t>Weight applied</t>
        </is>
      </c>
      <c r="O4" s="6" t="inlineStr">
        <is>
          <t>Gap points</t>
        </is>
      </c>
    </row>
    <row r="5" ht="41" customHeight="1">
      <c r="A5" s="14" t="inlineStr">
        <is>
          <t>AM-01</t>
        </is>
      </c>
      <c r="B5" s="15" t="inlineStr">
        <is>
          <t>Portfolio Visibility</t>
        </is>
      </c>
      <c r="C5" s="15" t="inlineStr">
        <is>
          <t>Is there a complete inventory of applications with business owner, technical owner, vendor and hosting model?</t>
        </is>
      </c>
      <c r="D5" s="15" t="inlineStr">
        <is>
          <t>Every application is inventoried with owners, vendor, hosting model, users and data handled, and the inventory is kept current.</t>
        </is>
      </c>
      <c r="E5" s="15" t="inlineStr">
        <is>
          <t>Application inventory (see sheet App Portfolio Triage).</t>
        </is>
      </c>
      <c r="F5" s="15" t="inlineStr">
        <is>
          <t>CPG-X: Asset Inventory</t>
        </is>
      </c>
      <c r="G5" s="15" t="inlineStr">
        <is>
          <t>NIST CSF 2.0 ID.AM</t>
        </is>
      </c>
      <c r="H5" s="16" t="n">
        <v>3</v>
      </c>
      <c r="I5" s="17" t="n"/>
      <c r="J5" s="17" t="n"/>
      <c r="K5" s="15" t="inlineStr">
        <is>
          <t>Complete the App Portfolio Triage sheet for every application.</t>
        </is>
      </c>
      <c r="L5" s="18">
        <f>IF(OR(I5="",I5="N/A"),"",VALUE(LEFT(I5,1)))</f>
        <v/>
      </c>
      <c r="M5" s="18">
        <f>IF(L5="",0,L5*H5)</f>
        <v/>
      </c>
      <c r="N5" s="18">
        <f>IF(L5="",0,H5)</f>
        <v/>
      </c>
      <c r="O5" s="18">
        <f>IF(L5="",0,(4-L5)*H5)</f>
        <v/>
      </c>
    </row>
    <row r="6" ht="41" customHeight="1">
      <c r="A6" s="14" t="inlineStr">
        <is>
          <t>AM-02</t>
        </is>
      </c>
      <c r="B6" s="15" t="inlineStr">
        <is>
          <t>Portfolio Visibility</t>
        </is>
      </c>
      <c r="C6" s="15" t="inlineStr">
        <is>
          <t>Are dependencies between applications (interfaces, databases, HL7 or FHIR feeds, shared infrastructure) documented?</t>
        </is>
      </c>
      <c r="D6" s="15" t="inlineStr">
        <is>
          <t>Dependencies are mapped and maintained so that the impact of any change or outage can be traced.</t>
        </is>
      </c>
      <c r="E6" s="15" t="inlineStr">
        <is>
          <t>Interface catalog; dependency map.</t>
        </is>
      </c>
      <c r="F6" s="15" t="inlineStr"/>
      <c r="G6" s="15" t="inlineStr">
        <is>
          <t>NIST CSF 2.0 ID.AM</t>
        </is>
      </c>
      <c r="H6" s="16" t="n">
        <v>3</v>
      </c>
      <c r="I6" s="17" t="n"/>
      <c r="J6" s="17" t="n"/>
      <c r="K6" s="15" t="inlineStr">
        <is>
          <t>Map interfaces and dependencies for critical applications first.</t>
        </is>
      </c>
      <c r="L6" s="18">
        <f>IF(OR(I6="",I6="N/A"),"",VALUE(LEFT(I6,1)))</f>
        <v/>
      </c>
      <c r="M6" s="18">
        <f>IF(L6="",0,L6*H6)</f>
        <v/>
      </c>
      <c r="N6" s="18">
        <f>IF(L6="",0,H6)</f>
        <v/>
      </c>
      <c r="O6" s="18">
        <f>IF(L6="",0,(4-L6)*H6)</f>
        <v/>
      </c>
    </row>
    <row r="7" ht="41" customHeight="1">
      <c r="A7" s="14" t="inlineStr">
        <is>
          <t>AM-03</t>
        </is>
      </c>
      <c r="B7" s="15" t="inlineStr">
        <is>
          <t>Portfolio Visibility</t>
        </is>
      </c>
      <c r="C7" s="15" t="inlineStr">
        <is>
          <t>Is each application classified by its criticality to patient care, revenue cycle and operations?</t>
        </is>
      </c>
      <c r="D7" s="15" t="inlineStr">
        <is>
          <t>Each application has a criticality rating approved by clinical and business owners and used to prioritize investment and recovery.</t>
        </is>
      </c>
      <c r="E7" s="15" t="inlineStr">
        <is>
          <t>Criticality ratings; applications and data criticality analysis.</t>
        </is>
      </c>
      <c r="F7" s="15" t="inlineStr"/>
      <c r="G7" s="15" t="inlineStr">
        <is>
          <t>HIPAA 45 CFR 164.308(a)(7)(ii)(E); NIST CSF 2.0 ID.AM</t>
        </is>
      </c>
      <c r="H7" s="16" t="n">
        <v>3</v>
      </c>
      <c r="I7" s="17" t="n"/>
      <c r="J7" s="17" t="n"/>
      <c r="K7" s="15" t="inlineStr">
        <is>
          <t>Rate each application’s criticality with clinical and business owners.</t>
        </is>
      </c>
      <c r="L7" s="18">
        <f>IF(OR(I7="",I7="N/A"),"",VALUE(LEFT(I7,1)))</f>
        <v/>
      </c>
      <c r="M7" s="18">
        <f>IF(L7="",0,L7*H7)</f>
        <v/>
      </c>
      <c r="N7" s="18">
        <f>IF(L7="",0,H7)</f>
        <v/>
      </c>
      <c r="O7" s="18">
        <f>IF(L7="",0,(4-L7)*H7)</f>
        <v/>
      </c>
    </row>
    <row r="8" ht="28" customHeight="1">
      <c r="A8" s="14" t="inlineStr">
        <is>
          <t>AM-04</t>
        </is>
      </c>
      <c r="B8" s="15" t="inlineStr">
        <is>
          <t>Portfolio Visibility</t>
        </is>
      </c>
      <c r="C8" s="15" t="inlineStr">
        <is>
          <t>Is the application inventory reviewed at least annually and updated with every change?</t>
        </is>
      </c>
      <c r="D8" s="15" t="inlineStr">
        <is>
          <t>Inventory updates are part of change management and a full review takes place at least annually.</t>
        </is>
      </c>
      <c r="E8" s="15" t="inlineStr">
        <is>
          <t>Change records referencing the inventory; last review date.</t>
        </is>
      </c>
      <c r="F8" s="15" t="inlineStr"/>
      <c r="G8" s="15" t="inlineStr">
        <is>
          <t>NIST CSF 2.0 ID.AM</t>
        </is>
      </c>
      <c r="H8" s="16" t="n">
        <v>2</v>
      </c>
      <c r="I8" s="17" t="n"/>
      <c r="J8" s="17" t="n"/>
      <c r="K8" s="15" t="inlineStr">
        <is>
          <t>Make inventory updates a required step of change management.</t>
        </is>
      </c>
      <c r="L8" s="18">
        <f>IF(OR(I8="",I8="N/A"),"",VALUE(LEFT(I8,1)))</f>
        <v/>
      </c>
      <c r="M8" s="18">
        <f>IF(L8="",0,L8*H8)</f>
        <v/>
      </c>
      <c r="N8" s="18">
        <f>IF(L8="",0,H8)</f>
        <v/>
      </c>
      <c r="O8" s="18">
        <f>IF(L8="",0,(4-L8)*H8)</f>
        <v/>
      </c>
    </row>
    <row r="9" ht="41" customHeight="1">
      <c r="A9" s="14" t="inlineStr">
        <is>
          <t>AM-05</t>
        </is>
      </c>
      <c r="B9" s="15" t="inlineStr">
        <is>
          <t>Lifecycle &amp; Supportability</t>
        </is>
      </c>
      <c r="C9" s="15" t="inlineStr">
        <is>
          <t>Do you know which applications depend on platforms past end of support (e.g., Windows 10, older Windows Server or SQL Server)?</t>
        </is>
      </c>
      <c r="D9" s="15" t="inlineStr">
        <is>
          <t>Every application’s dependence on unsupported operating systems, databases or frameworks is known and reported.</t>
        </is>
      </c>
      <c r="E9" s="15" t="inlineStr">
        <is>
          <t>Platform support status report.</t>
        </is>
      </c>
      <c r="F9" s="15" t="inlineStr">
        <is>
          <t>CPG-E: Mitigate Known Vulnerabilities</t>
        </is>
      </c>
      <c r="G9" s="15" t="inlineStr">
        <is>
          <t>NIST CSF 2.0 ID.RA</t>
        </is>
      </c>
      <c r="H9" s="16" t="n">
        <v>3</v>
      </c>
      <c r="I9" s="17" t="n"/>
      <c r="J9" s="17" t="n"/>
      <c r="K9" s="15" t="inlineStr">
        <is>
          <t>Identify all applications that depend on unsupported platforms.</t>
        </is>
      </c>
      <c r="L9" s="18">
        <f>IF(OR(I9="",I9="N/A"),"",VALUE(LEFT(I9,1)))</f>
        <v/>
      </c>
      <c r="M9" s="18">
        <f>IF(L9="",0,L9*H9)</f>
        <v/>
      </c>
      <c r="N9" s="18">
        <f>IF(L9="",0,H9)</f>
        <v/>
      </c>
      <c r="O9" s="18">
        <f>IF(L9="",0,(4-L9)*H9)</f>
        <v/>
      </c>
    </row>
    <row r="10" ht="41" customHeight="1">
      <c r="A10" s="14" t="inlineStr">
        <is>
          <t>AM-06</t>
        </is>
      </c>
      <c r="B10" s="15" t="inlineStr">
        <is>
          <t>Lifecycle &amp; Supportability</t>
        </is>
      </c>
      <c r="C10" s="15" t="inlineStr">
        <is>
          <t>Is there a funded plan for each unsupported platform (upgrade, isolate, retire or purchase extended updates)?</t>
        </is>
      </c>
      <c r="D10" s="15" t="inlineStr">
        <is>
          <t>Each unsupported platform has an approved, funded plan with an owner and a target date.</t>
        </is>
      </c>
      <c r="E10" s="15" t="inlineStr">
        <is>
          <t>Remediation plan and budget.</t>
        </is>
      </c>
      <c r="F10" s="15" t="inlineStr">
        <is>
          <t>CPG-X: Cybersecurity Mitigation</t>
        </is>
      </c>
      <c r="G10" s="15" t="inlineStr">
        <is>
          <t>NIST CSF 2.0 GV.RM, ID.RA</t>
        </is>
      </c>
      <c r="H10" s="16" t="n">
        <v>3</v>
      </c>
      <c r="I10" s="17" t="n"/>
      <c r="J10" s="17" t="n"/>
      <c r="K10" s="15" t="inlineStr">
        <is>
          <t>Approve and fund a plan with an owner and date for every unsupported platform.</t>
        </is>
      </c>
      <c r="L10" s="18">
        <f>IF(OR(I10="",I10="N/A"),"",VALUE(LEFT(I10,1)))</f>
        <v/>
      </c>
      <c r="M10" s="18">
        <f>IF(L10="",0,L10*H10)</f>
        <v/>
      </c>
      <c r="N10" s="18">
        <f>IF(L10="",0,H10)</f>
        <v/>
      </c>
      <c r="O10" s="18">
        <f>IF(L10="",0,(4-L10)*H10)</f>
        <v/>
      </c>
    </row>
    <row r="11" ht="41" customHeight="1">
      <c r="A11" s="14" t="inlineStr">
        <is>
          <t>AM-07</t>
        </is>
      </c>
      <c r="B11" s="15" t="inlineStr">
        <is>
          <t>Lifecycle &amp; Supportability</t>
        </is>
      </c>
      <c r="C11" s="15" t="inlineStr">
        <is>
          <t>Are vendor support status, roadmap and contract terms tracked for clinical applications?</t>
        </is>
      </c>
      <c r="D11" s="15" t="inlineStr">
        <is>
          <t>Vendor support dates, roadmap commitments and contract terms are tracked and reviewed before renewals.</t>
        </is>
      </c>
      <c r="E11" s="15" t="inlineStr">
        <is>
          <t>Vendor register.</t>
        </is>
      </c>
      <c r="F11" s="15" t="inlineStr"/>
      <c r="G11" s="15" t="inlineStr">
        <is>
          <t>NIST CSF 2.0 GV.SC</t>
        </is>
      </c>
      <c r="H11" s="16" t="n">
        <v>2</v>
      </c>
      <c r="I11" s="17" t="n"/>
      <c r="J11" s="17" t="n"/>
      <c r="K11" s="15" t="inlineStr">
        <is>
          <t>Track support status and roadmap commitments for every clinical application vendor.</t>
        </is>
      </c>
      <c r="L11" s="18">
        <f>IF(OR(I11="",I11="N/A"),"",VALUE(LEFT(I11,1)))</f>
        <v/>
      </c>
      <c r="M11" s="18">
        <f>IF(L11="",0,L11*H11)</f>
        <v/>
      </c>
      <c r="N11" s="18">
        <f>IF(L11="",0,H11)</f>
        <v/>
      </c>
      <c r="O11" s="18">
        <f>IF(L11="",0,(4-L11)*H11)</f>
        <v/>
      </c>
    </row>
    <row r="12" ht="41" customHeight="1">
      <c r="A12" s="14" t="inlineStr">
        <is>
          <t>AM-08</t>
        </is>
      </c>
      <c r="B12" s="15" t="inlineStr">
        <is>
          <t>Lifecycle &amp; Supportability</t>
        </is>
      </c>
      <c r="C12" s="15" t="inlineStr">
        <is>
          <t>Are legacy systems that cannot be upgraded (including medical device software) isolated with compensating controls?</t>
        </is>
      </c>
      <c r="D12" s="15" t="inlineStr">
        <is>
          <t>Systems that cannot be upgraded are isolated in dedicated segments with restricted access and enhanced monitoring.</t>
        </is>
      </c>
      <c r="E12" s="15" t="inlineStr">
        <is>
          <t>Network segmentation design; exception register.</t>
        </is>
      </c>
      <c r="F12" s="15" t="inlineStr">
        <is>
          <t>CPG-X: Network Segmentation</t>
        </is>
      </c>
      <c r="G12" s="15" t="inlineStr">
        <is>
          <t>NIST CSF 2.0 PR.IR</t>
        </is>
      </c>
      <c r="H12" s="16" t="n">
        <v>3</v>
      </c>
      <c r="I12" s="17" t="n"/>
      <c r="J12" s="17" t="n"/>
      <c r="K12" s="15" t="inlineStr">
        <is>
          <t>Isolate non-upgradable systems and document compensating controls.</t>
        </is>
      </c>
      <c r="L12" s="18">
        <f>IF(OR(I12="",I12="N/A"),"",VALUE(LEFT(I12,1)))</f>
        <v/>
      </c>
      <c r="M12" s="18">
        <f>IF(L12="",0,L12*H12)</f>
        <v/>
      </c>
      <c r="N12" s="18">
        <f>IF(L12="",0,H12)</f>
        <v/>
      </c>
      <c r="O12" s="18">
        <f>IF(L12="",0,(4-L12)*H12)</f>
        <v/>
      </c>
    </row>
    <row r="13" ht="41" customHeight="1">
      <c r="A13" s="14" t="inlineStr">
        <is>
          <t>AM-09</t>
        </is>
      </c>
      <c r="B13" s="15" t="inlineStr">
        <is>
          <t>Rationalization &amp; Roadmap</t>
        </is>
      </c>
      <c r="C13" s="15" t="inlineStr">
        <is>
          <t>Does each application have a documented disposition (retire, retain, rehost, replatform, refactor or replace)?</t>
        </is>
      </c>
      <c r="D13" s="15" t="inlineStr">
        <is>
          <t>Every application has an approved disposition based on business value and technical risk.</t>
        </is>
      </c>
      <c r="E13" s="15" t="inlineStr">
        <is>
          <t>Dispositions in the application inventory.</t>
        </is>
      </c>
      <c r="F13" s="15" t="inlineStr"/>
      <c r="G13" s="15" t="inlineStr">
        <is>
          <t>Microsoft Cloud Adoption Framework (Plan)</t>
        </is>
      </c>
      <c r="H13" s="16" t="n">
        <v>2</v>
      </c>
      <c r="I13" s="17" t="n"/>
      <c r="J13" s="17" t="n"/>
      <c r="K13" s="15" t="inlineStr">
        <is>
          <t>Assign a disposition to each application using the App Portfolio Triage sheet.</t>
        </is>
      </c>
      <c r="L13" s="18">
        <f>IF(OR(I13="",I13="N/A"),"",VALUE(LEFT(I13,1)))</f>
        <v/>
      </c>
      <c r="M13" s="18">
        <f>IF(L13="",0,L13*H13)</f>
        <v/>
      </c>
      <c r="N13" s="18">
        <f>IF(L13="",0,H13)</f>
        <v/>
      </c>
      <c r="O13" s="18">
        <f>IF(L13="",0,(4-L13)*H13)</f>
        <v/>
      </c>
    </row>
    <row r="14" ht="41" customHeight="1">
      <c r="A14" s="14" t="inlineStr">
        <is>
          <t>AM-10</t>
        </is>
      </c>
      <c r="B14" s="15" t="inlineStr">
        <is>
          <t>Rationalization &amp; Roadmap</t>
        </is>
      </c>
      <c r="C14" s="15" t="inlineStr">
        <is>
          <t>Is there a sequenced modernization roadmap aligned with business priorities and regulatory deadlines?</t>
        </is>
      </c>
      <c r="D14" s="15" t="inlineStr">
        <is>
          <t>A funded roadmap sequences modernization by risk and value and reflects regulatory deadlines such as HIPAA Security Rule updates.</t>
        </is>
      </c>
      <c r="E14" s="15" t="inlineStr">
        <is>
          <t>Modernization roadmap.</t>
        </is>
      </c>
      <c r="F14" s="15" t="inlineStr"/>
      <c r="G14" s="15" t="inlineStr">
        <is>
          <t>Microsoft Cloud Adoption Framework (Plan)</t>
        </is>
      </c>
      <c r="H14" s="16" t="n">
        <v>2</v>
      </c>
      <c r="I14" s="17" t="n"/>
      <c r="J14" s="17" t="n"/>
      <c r="K14" s="15" t="inlineStr">
        <is>
          <t>Build a sequenced roadmap from the dispositions, highest risk and value first.</t>
        </is>
      </c>
      <c r="L14" s="18">
        <f>IF(OR(I14="",I14="N/A"),"",VALUE(LEFT(I14,1)))</f>
        <v/>
      </c>
      <c r="M14" s="18">
        <f>IF(L14="",0,L14*H14)</f>
        <v/>
      </c>
      <c r="N14" s="18">
        <f>IF(L14="",0,H14)</f>
        <v/>
      </c>
      <c r="O14" s="18">
        <f>IF(L14="",0,(4-L14)*H14)</f>
        <v/>
      </c>
    </row>
    <row r="15" ht="28" customHeight="1">
      <c r="A15" s="14" t="inlineStr">
        <is>
          <t>AM-11</t>
        </is>
      </c>
      <c r="B15" s="15" t="inlineStr">
        <is>
          <t>Rationalization &amp; Roadmap</t>
        </is>
      </c>
      <c r="C15" s="15" t="inlineStr">
        <is>
          <t>Are redundant applications with overlapping functions identified for consolidation?</t>
        </is>
      </c>
      <c r="D15" s="15" t="inlineStr">
        <is>
          <t>Overlapping applications are identified and consolidation decisions are made and tracked.</t>
        </is>
      </c>
      <c r="E15" s="15" t="inlineStr">
        <is>
          <t>Capability-to-application map.</t>
        </is>
      </c>
      <c r="F15" s="15" t="inlineStr"/>
      <c r="G15" s="15" t="inlineStr">
        <is>
          <t>Application portfolio management practice</t>
        </is>
      </c>
      <c r="H15" s="16" t="n">
        <v>1</v>
      </c>
      <c r="I15" s="17" t="n"/>
      <c r="J15" s="17" t="n"/>
      <c r="K15" s="15" t="inlineStr">
        <is>
          <t>Map business capabilities to applications to expose overlaps.</t>
        </is>
      </c>
      <c r="L15" s="18">
        <f>IF(OR(I15="",I15="N/A"),"",VALUE(LEFT(I15,1)))</f>
        <v/>
      </c>
      <c r="M15" s="18">
        <f>IF(L15="",0,L15*H15)</f>
        <v/>
      </c>
      <c r="N15" s="18">
        <f>IF(L15="",0,H15)</f>
        <v/>
      </c>
      <c r="O15" s="18">
        <f>IF(L15="",0,(4-L15)*H15)</f>
        <v/>
      </c>
    </row>
    <row r="16" ht="28" customHeight="1">
      <c r="A16" s="14" t="inlineStr">
        <is>
          <t>AM-12</t>
        </is>
      </c>
      <c r="B16" s="15" t="inlineStr">
        <is>
          <t>Rationalization &amp; Roadmap</t>
        </is>
      </c>
      <c r="C16" s="15" t="inlineStr">
        <is>
          <t>Is the total cost of ownership known for major applications?</t>
        </is>
      </c>
      <c r="D16" s="15" t="inlineStr">
        <is>
          <t>Licensing, infrastructure, support and staff costs are known for each major application.</t>
        </is>
      </c>
      <c r="E16" s="15" t="inlineStr">
        <is>
          <t>Cost per application.</t>
        </is>
      </c>
      <c r="F16" s="15" t="inlineStr"/>
      <c r="G16" s="15" t="inlineStr">
        <is>
          <t>FinOps Framework (Inform)</t>
        </is>
      </c>
      <c r="H16" s="16" t="n">
        <v>1</v>
      </c>
      <c r="I16" s="17" t="n"/>
      <c r="J16" s="17" t="n"/>
      <c r="K16" s="15" t="inlineStr">
        <is>
          <t>Estimate total cost of ownership for the top applications by spend.</t>
        </is>
      </c>
      <c r="L16" s="18">
        <f>IF(OR(I16="",I16="N/A"),"",VALUE(LEFT(I16,1)))</f>
        <v/>
      </c>
      <c r="M16" s="18">
        <f>IF(L16="",0,L16*H16)</f>
        <v/>
      </c>
      <c r="N16" s="18">
        <f>IF(L16="",0,H16)</f>
        <v/>
      </c>
      <c r="O16" s="18">
        <f>IF(L16="",0,(4-L16)*H16)</f>
        <v/>
      </c>
    </row>
    <row r="17" ht="41" customHeight="1">
      <c r="A17" s="14" t="inlineStr">
        <is>
          <t>AM-13</t>
        </is>
      </c>
      <c r="B17" s="15" t="inlineStr">
        <is>
          <t>Engineering &amp; Release</t>
        </is>
      </c>
      <c r="C17" s="15" t="inlineStr">
        <is>
          <t>Are changes deployed through a controlled, repeatable release process with approval and rollback?</t>
        </is>
      </c>
      <c r="D17" s="15" t="inlineStr">
        <is>
          <t>All production changes follow an approved, repeatable release process with tested rollback, and configurations are baselined.</t>
        </is>
      </c>
      <c r="E17" s="15" t="inlineStr">
        <is>
          <t>Change management records; release procedure.</t>
        </is>
      </c>
      <c r="F17" s="15" t="inlineStr">
        <is>
          <t>CPG-X: Configuration Management</t>
        </is>
      </c>
      <c r="G17" s="15" t="inlineStr">
        <is>
          <t>NIST CSF 2.0 PR.PS</t>
        </is>
      </c>
      <c r="H17" s="16" t="n">
        <v>3</v>
      </c>
      <c r="I17" s="17" t="n"/>
      <c r="J17" s="17" t="n"/>
      <c r="K17" s="15" t="inlineStr">
        <is>
          <t>Standardize the release process with approval gates and tested rollback.</t>
        </is>
      </c>
      <c r="L17" s="18">
        <f>IF(OR(I17="",I17="N/A"),"",VALUE(LEFT(I17,1)))</f>
        <v/>
      </c>
      <c r="M17" s="18">
        <f>IF(L17="",0,L17*H17)</f>
        <v/>
      </c>
      <c r="N17" s="18">
        <f>IF(L17="",0,H17)</f>
        <v/>
      </c>
      <c r="O17" s="18">
        <f>IF(L17="",0,(4-L17)*H17)</f>
        <v/>
      </c>
    </row>
    <row r="18" ht="41" customHeight="1">
      <c r="A18" s="14" t="inlineStr">
        <is>
          <t>AM-14</t>
        </is>
      </c>
      <c r="B18" s="15" t="inlineStr">
        <is>
          <t>Engineering &amp; Release</t>
        </is>
      </c>
      <c r="C18" s="15" t="inlineStr">
        <is>
          <t>Is automated testing used for critical applications before release?</t>
        </is>
      </c>
      <c r="D18" s="15" t="inlineStr">
        <is>
          <t>Critical applications have automated tests that run before every release, including regression of key clinical workflows.</t>
        </is>
      </c>
      <c r="E18" s="15" t="inlineStr">
        <is>
          <t>Test reports from recent releases.</t>
        </is>
      </c>
      <c r="F18" s="15" t="inlineStr"/>
      <c r="G18" s="15" t="inlineStr">
        <is>
          <t>NIST SP 800-218 (SSDF) PW.8</t>
        </is>
      </c>
      <c r="H18" s="16" t="n">
        <v>2</v>
      </c>
      <c r="I18" s="17" t="n"/>
      <c r="J18" s="17" t="n"/>
      <c r="K18" s="15" t="inlineStr">
        <is>
          <t>Automate regression tests for the critical workflows of the most important applications.</t>
        </is>
      </c>
      <c r="L18" s="18">
        <f>IF(OR(I18="",I18="N/A"),"",VALUE(LEFT(I18,1)))</f>
        <v/>
      </c>
      <c r="M18" s="18">
        <f>IF(L18="",0,L18*H18)</f>
        <v/>
      </c>
      <c r="N18" s="18">
        <f>IF(L18="",0,H18)</f>
        <v/>
      </c>
      <c r="O18" s="18">
        <f>IF(L18="",0,(4-L18)*H18)</f>
        <v/>
      </c>
    </row>
    <row r="19" ht="41" customHeight="1">
      <c r="A19" s="14" t="inlineStr">
        <is>
          <t>AM-15</t>
        </is>
      </c>
      <c r="B19" s="15" t="inlineStr">
        <is>
          <t>Engineering &amp; Release</t>
        </is>
      </c>
      <c r="C19" s="15" t="inlineStr">
        <is>
          <t>Are secure development practices (code review, dependency scanning, secrets management) applied to in-house and customized code?</t>
        </is>
      </c>
      <c r="D19" s="15" t="inlineStr">
        <is>
          <t>Code review, dependency and vulnerability scanning and secrets management are applied to all in-house and customized code.</t>
        </is>
      </c>
      <c r="E19" s="15" t="inlineStr">
        <is>
          <t>Pipeline configuration; scan results.</t>
        </is>
      </c>
      <c r="F19" s="15" t="inlineStr"/>
      <c r="G19" s="15" t="inlineStr">
        <is>
          <t>NIST SP 800-218 (SSDF) PW, RV</t>
        </is>
      </c>
      <c r="H19" s="16" t="n">
        <v>2</v>
      </c>
      <c r="I19" s="17" t="n"/>
      <c r="J19" s="17" t="n"/>
      <c r="K19" s="15" t="inlineStr">
        <is>
          <t>Add code review, dependency scanning and secrets management to every pipeline.</t>
        </is>
      </c>
      <c r="L19" s="18">
        <f>IF(OR(I19="",I19="N/A"),"",VALUE(LEFT(I19,1)))</f>
        <v/>
      </c>
      <c r="M19" s="18">
        <f>IF(L19="",0,L19*H19)</f>
        <v/>
      </c>
      <c r="N19" s="18">
        <f>IF(L19="",0,H19)</f>
        <v/>
      </c>
      <c r="O19" s="18">
        <f>IF(L19="",0,(4-L19)*H19)</f>
        <v/>
      </c>
    </row>
    <row r="20" ht="41" customHeight="1">
      <c r="A20" s="14" t="inlineStr">
        <is>
          <t>AM-16</t>
        </is>
      </c>
      <c r="B20" s="15" t="inlineStr">
        <is>
          <t>Engineering &amp; Release</t>
        </is>
      </c>
      <c r="C20" s="15" t="inlineStr">
        <is>
          <t>If AI-assisted engineering is used, is it governed by policy (approved tools, data restrictions, human review)?</t>
        </is>
      </c>
      <c r="D20" s="15" t="inlineStr">
        <is>
          <t>A policy defines approved AI tools, prohibits PHI in unapproved tools, and requires human review of AI-generated changes.</t>
        </is>
      </c>
      <c r="E20" s="15" t="inlineStr">
        <is>
          <t>AI usage policy; review records.</t>
        </is>
      </c>
      <c r="F20" s="15" t="inlineStr"/>
      <c r="G20" s="15" t="inlineStr">
        <is>
          <t>NIST CSF 2.0 GV.PO</t>
        </is>
      </c>
      <c r="H20" s="16" t="n">
        <v>2</v>
      </c>
      <c r="I20" s="17" t="n"/>
      <c r="J20" s="17" t="n"/>
      <c r="K20" s="15" t="inlineStr">
        <is>
          <t>Publish an AI-assisted engineering policy with approved tools, data rules and mandatory human review.</t>
        </is>
      </c>
      <c r="L20" s="18">
        <f>IF(OR(I20="",I20="N/A"),"",VALUE(LEFT(I20,1)))</f>
        <v/>
      </c>
      <c r="M20" s="18">
        <f>IF(L20="",0,L20*H20)</f>
        <v/>
      </c>
      <c r="N20" s="18">
        <f>IF(L20="",0,H20)</f>
        <v/>
      </c>
      <c r="O20" s="18">
        <f>IF(L20="",0,(4-L20)*H20)</f>
        <v/>
      </c>
    </row>
    <row r="21" ht="41" customHeight="1">
      <c r="A21" s="14" t="inlineStr">
        <is>
          <t>AM-17</t>
        </is>
      </c>
      <c r="B21" s="15" t="inlineStr">
        <is>
          <t>Resilience &amp; Recovery</t>
        </is>
      </c>
      <c r="C21" s="15" t="inlineStr">
        <is>
          <t>Are backups of critical applications and data protected from tampering and is restoration tested?</t>
        </is>
      </c>
      <c r="D21" s="15" t="inlineStr">
        <is>
          <t>Backups are immutable or offline, and restoration of critical applications is tested at least annually.</t>
        </is>
      </c>
      <c r="E21" s="15" t="inlineStr">
        <is>
          <t>Backup configuration; restoration test results.</t>
        </is>
      </c>
      <c r="F21" s="15" t="inlineStr"/>
      <c r="G21" s="15" t="inlineStr">
        <is>
          <t>HIPAA 45 CFR 164.308(a)(7)(ii)(A),(D); NIST CSF 2.0 PR.DS, RC.RP</t>
        </is>
      </c>
      <c r="H21" s="16" t="n">
        <v>3</v>
      </c>
      <c r="I21" s="17" t="n"/>
      <c r="J21" s="17" t="n"/>
      <c r="K21" s="15" t="inlineStr">
        <is>
          <t>Make backups immutable or offline and test restoration of critical applications.</t>
        </is>
      </c>
      <c r="L21" s="18">
        <f>IF(OR(I21="",I21="N/A"),"",VALUE(LEFT(I21,1)))</f>
        <v/>
      </c>
      <c r="M21" s="18">
        <f>IF(L21="",0,L21*H21)</f>
        <v/>
      </c>
      <c r="N21" s="18">
        <f>IF(L21="",0,H21)</f>
        <v/>
      </c>
      <c r="O21" s="18">
        <f>IF(L21="",0,(4-L21)*H21)</f>
        <v/>
      </c>
    </row>
    <row r="22" ht="41" customHeight="1">
      <c r="A22" s="14" t="inlineStr">
        <is>
          <t>AM-18</t>
        </is>
      </c>
      <c r="B22" s="15" t="inlineStr">
        <is>
          <t>Resilience &amp; Recovery</t>
        </is>
      </c>
      <c r="C22" s="15" t="inlineStr">
        <is>
          <t>Do critical applications have recovery time and recovery point objectives that are tested?</t>
        </is>
      </c>
      <c r="D22" s="15" t="inlineStr">
        <is>
          <t>Approved recovery objectives exist for each critical application and are validated by recovery exercises.</t>
        </is>
      </c>
      <c r="E22" s="15" t="inlineStr">
        <is>
          <t>Recovery objectives; disaster recovery test reports.</t>
        </is>
      </c>
      <c r="F22" s="15" t="inlineStr"/>
      <c r="G22" s="15" t="inlineStr">
        <is>
          <t>HIPAA 45 CFR 164.308(a)(7)(ii)(B); NIST CSF 2.0 RC.RP</t>
        </is>
      </c>
      <c r="H22" s="16" t="n">
        <v>3</v>
      </c>
      <c r="I22" s="17" t="n"/>
      <c r="J22" s="17" t="n"/>
      <c r="K22" s="15" t="inlineStr">
        <is>
          <t>Define and test recovery objectives for each critical application.</t>
        </is>
      </c>
      <c r="L22" s="18">
        <f>IF(OR(I22="",I22="N/A"),"",VALUE(LEFT(I22,1)))</f>
        <v/>
      </c>
      <c r="M22" s="18">
        <f>IF(L22="",0,L22*H22)</f>
        <v/>
      </c>
      <c r="N22" s="18">
        <f>IF(L22="",0,H22)</f>
        <v/>
      </c>
      <c r="O22" s="18">
        <f>IF(L22="",0,(4-L22)*H22)</f>
        <v/>
      </c>
    </row>
    <row r="23" ht="28" customHeight="1">
      <c r="A23" s="14" t="inlineStr">
        <is>
          <t>AM-19</t>
        </is>
      </c>
      <c r="B23" s="15" t="inlineStr">
        <is>
          <t>Resilience &amp; Recovery</t>
        </is>
      </c>
      <c r="C23" s="15" t="inlineStr">
        <is>
          <t>Are downtime procedures for clinical workflows documented and exercised?</t>
        </is>
      </c>
      <c r="D23" s="15" t="inlineStr">
        <is>
          <t>Clinical departments have current downtime procedures and exercise them at least annually.</t>
        </is>
      </c>
      <c r="E23" s="15" t="inlineStr">
        <is>
          <t>Downtime procedures; exercise records.</t>
        </is>
      </c>
      <c r="F23" s="15" t="inlineStr"/>
      <c r="G23" s="15" t="inlineStr">
        <is>
          <t>HIPAA 45 CFR 164.308(a)(7)(ii)(C)</t>
        </is>
      </c>
      <c r="H23" s="16" t="n">
        <v>3</v>
      </c>
      <c r="I23" s="17" t="n"/>
      <c r="J23" s="17" t="n"/>
      <c r="K23" s="15" t="inlineStr">
        <is>
          <t>Document and exercise downtime procedures with clinical departments.</t>
        </is>
      </c>
      <c r="L23" s="18">
        <f>IF(OR(I23="",I23="N/A"),"",VALUE(LEFT(I23,1)))</f>
        <v/>
      </c>
      <c r="M23" s="18">
        <f>IF(L23="",0,L23*H23)</f>
        <v/>
      </c>
      <c r="N23" s="18">
        <f>IF(L23="",0,H23)</f>
        <v/>
      </c>
      <c r="O23" s="18">
        <f>IF(L23="",0,(4-L23)*H23)</f>
        <v/>
      </c>
    </row>
    <row r="24" ht="28" customHeight="1">
      <c r="A24" s="14" t="inlineStr">
        <is>
          <t>AM-20</t>
        </is>
      </c>
      <c r="B24" s="15" t="inlineStr">
        <is>
          <t>Resilience &amp; Recovery</t>
        </is>
      </c>
      <c r="C24" s="15" t="inlineStr">
        <is>
          <t>Is monitoring in place to detect application outages and performance degradation?</t>
        </is>
      </c>
      <c r="D24" s="15" t="inlineStr">
        <is>
          <t>Critical applications are monitored end to end with alerts routed to accountable teams.</t>
        </is>
      </c>
      <c r="E24" s="15" t="inlineStr">
        <is>
          <t>Monitoring dashboards; alert routing.</t>
        </is>
      </c>
      <c r="F24" s="15" t="inlineStr"/>
      <c r="G24" s="15" t="inlineStr">
        <is>
          <t>NIST CSF 2.0 DE.CM</t>
        </is>
      </c>
      <c r="H24" s="16" t="n">
        <v>2</v>
      </c>
      <c r="I24" s="17" t="n"/>
      <c r="J24" s="17" t="n"/>
      <c r="K24" s="15" t="inlineStr">
        <is>
          <t>Implement end-to-end monitoring and alerting for critical applications.</t>
        </is>
      </c>
      <c r="L24" s="18">
        <f>IF(OR(I24="",I24="N/A"),"",VALUE(LEFT(I24,1)))</f>
        <v/>
      </c>
      <c r="M24" s="18">
        <f>IF(L24="",0,L24*H24)</f>
        <v/>
      </c>
      <c r="N24" s="18">
        <f>IF(L24="",0,H24)</f>
        <v/>
      </c>
      <c r="O24" s="18">
        <f>IF(L24="",0,(4-L24)*H24)</f>
        <v/>
      </c>
    </row>
    <row r="25" ht="28" customHeight="1">
      <c r="A25" s="14" t="inlineStr">
        <is>
          <t>AM-21</t>
        </is>
      </c>
      <c r="B25" s="15" t="inlineStr">
        <is>
          <t>Cloud &amp; Data Readiness</t>
        </is>
      </c>
      <c r="C25" s="15" t="inlineStr">
        <is>
          <t>Is there a cloud foundation (identity, network, security, cost governance) in place before migrations?</t>
        </is>
      </c>
      <c r="D25" s="15" t="inlineStr">
        <is>
          <t>A governed cloud foundation exists and every migration lands on it.</t>
        </is>
      </c>
      <c r="E25" s="15" t="inlineStr">
        <is>
          <t>Cloud foundation design and policies.</t>
        </is>
      </c>
      <c r="F25" s="15" t="inlineStr"/>
      <c r="G25" s="15" t="inlineStr">
        <is>
          <t>Microsoft Cloud Adoption Framework (Ready)</t>
        </is>
      </c>
      <c r="H25" s="16" t="n">
        <v>2</v>
      </c>
      <c r="I25" s="17" t="n"/>
      <c r="J25" s="17" t="n"/>
      <c r="K25" s="15" t="inlineStr">
        <is>
          <t>Establish a governed cloud foundation before migrating workloads.</t>
        </is>
      </c>
      <c r="L25" s="18">
        <f>IF(OR(I25="",I25="N/A"),"",VALUE(LEFT(I25,1)))</f>
        <v/>
      </c>
      <c r="M25" s="18">
        <f>IF(L25="",0,L25*H25)</f>
        <v/>
      </c>
      <c r="N25" s="18">
        <f>IF(L25="",0,H25)</f>
        <v/>
      </c>
      <c r="O25" s="18">
        <f>IF(L25="",0,(4-L25)*H25)</f>
        <v/>
      </c>
    </row>
    <row r="26" ht="41" customHeight="1">
      <c r="A26" s="14" t="inlineStr">
        <is>
          <t>AM-22</t>
        </is>
      </c>
      <c r="B26" s="15" t="inlineStr">
        <is>
          <t>Cloud &amp; Data Readiness</t>
        </is>
      </c>
      <c r="C26" s="15" t="inlineStr">
        <is>
          <t>Are business associate agreements in place with all cloud and SaaS providers that handle PHI?</t>
        </is>
      </c>
      <c r="D26" s="15" t="inlineStr">
        <is>
          <t>Every provider that creates, receives, maintains or transmits PHI has a business associate agreement and meets your security requirements.</t>
        </is>
      </c>
      <c r="E26" s="15" t="inlineStr">
        <is>
          <t>Business associate agreements; vendor security reviews.</t>
        </is>
      </c>
      <c r="F26" s="15" t="inlineStr">
        <is>
          <t>CPG-E: Vendor/Supplier Cybersecurity Requirements</t>
        </is>
      </c>
      <c r="G26" s="15" t="inlineStr">
        <is>
          <t>HIPAA 45 CFR 164.308(b); NIST CSF 2.0 GV.SC</t>
        </is>
      </c>
      <c r="H26" s="16" t="n">
        <v>3</v>
      </c>
      <c r="I26" s="17" t="n"/>
      <c r="J26" s="17" t="n"/>
      <c r="K26" s="15" t="inlineStr">
        <is>
          <t>Confirm business associate agreements and security requirements for every PHI-handling provider.</t>
        </is>
      </c>
      <c r="L26" s="18">
        <f>IF(OR(I26="",I26="N/A"),"",VALUE(LEFT(I26,1)))</f>
        <v/>
      </c>
      <c r="M26" s="18">
        <f>IF(L26="",0,L26*H26)</f>
        <v/>
      </c>
      <c r="N26" s="18">
        <f>IF(L26="",0,H26)</f>
        <v/>
      </c>
      <c r="O26" s="18">
        <f>IF(L26="",0,(4-L26)*H26)</f>
        <v/>
      </c>
    </row>
    <row r="27" ht="28" customHeight="1">
      <c r="A27" s="14" t="inlineStr">
        <is>
          <t>AM-23</t>
        </is>
      </c>
      <c r="B27" s="15" t="inlineStr">
        <is>
          <t>Cloud &amp; Data Readiness</t>
        </is>
      </c>
      <c r="C27" s="15" t="inlineStr">
        <is>
          <t>Are interfaces moving toward standards-based APIs (e.g., HL7 FHIR) where applicable?</t>
        </is>
      </c>
      <c r="D27" s="15" t="inlineStr">
        <is>
          <t>New and modernized interfaces use standards-based APIs and are inventoried and secured.</t>
        </is>
      </c>
      <c r="E27" s="15" t="inlineStr">
        <is>
          <t>Interface catalog.</t>
        </is>
      </c>
      <c r="F27" s="15" t="inlineStr"/>
      <c r="G27" s="15" t="inlineStr">
        <is>
          <t>HL7 FHIR</t>
        </is>
      </c>
      <c r="H27" s="16" t="n">
        <v>1</v>
      </c>
      <c r="I27" s="17" t="n"/>
      <c r="J27" s="17" t="n"/>
      <c r="K27" s="15" t="inlineStr">
        <is>
          <t>Prefer standards-based APIs for new and modernized interfaces.</t>
        </is>
      </c>
      <c r="L27" s="18">
        <f>IF(OR(I27="",I27="N/A"),"",VALUE(LEFT(I27,1)))</f>
        <v/>
      </c>
      <c r="M27" s="18">
        <f>IF(L27="",0,L27*H27)</f>
        <v/>
      </c>
      <c r="N27" s="18">
        <f>IF(L27="",0,H27)</f>
        <v/>
      </c>
      <c r="O27" s="18">
        <f>IF(L27="",0,(4-L27)*H27)</f>
        <v/>
      </c>
    </row>
    <row r="28" ht="28" customHeight="1">
      <c r="A28" s="14" t="inlineStr">
        <is>
          <t>AM-24</t>
        </is>
      </c>
      <c r="B28" s="15" t="inlineStr">
        <is>
          <t>Cloud &amp; Data Readiness</t>
        </is>
      </c>
      <c r="C28" s="15" t="inlineStr">
        <is>
          <t>Are data classification, retention and migration rules for PHI defined before applications are moved?</t>
        </is>
      </c>
      <c r="D28" s="15" t="inlineStr">
        <is>
          <t>PHI is classified and retention and migration rules are approved before any application is moved.</t>
        </is>
      </c>
      <c r="E28" s="15" t="inlineStr">
        <is>
          <t>Data classification and retention policy.</t>
        </is>
      </c>
      <c r="F28" s="15" t="inlineStr"/>
      <c r="G28" s="15" t="inlineStr">
        <is>
          <t>NIST CSF 2.0 PR.DS</t>
        </is>
      </c>
      <c r="H28" s="16" t="n">
        <v>2</v>
      </c>
      <c r="I28" s="17" t="n"/>
      <c r="J28" s="17" t="n"/>
      <c r="K28" s="15" t="inlineStr">
        <is>
          <t>Define PHI classification, retention and migration rules before moving applications.</t>
        </is>
      </c>
      <c r="L28" s="18">
        <f>IF(OR(I28="",I28="N/A"),"",VALUE(LEFT(I28,1)))</f>
        <v/>
      </c>
      <c r="M28" s="18">
        <f>IF(L28="",0,L28*H28)</f>
        <v/>
      </c>
      <c r="N28" s="18">
        <f>IF(L28="",0,H28)</f>
        <v/>
      </c>
      <c r="O28" s="18">
        <f>IF(L28="",0,(4-L28)*H28)</f>
        <v/>
      </c>
    </row>
  </sheetData>
  <conditionalFormatting sqref="L5:L28">
    <cfRule type="cellIs" priority="1" operator="between" dxfId="0">
      <formula>0</formula>
      <formula>1</formula>
    </cfRule>
    <cfRule type="cellIs" priority="2" operator="equal" dxfId="1">
      <formula>2</formula>
    </cfRule>
    <cfRule type="cellIs" priority="3" operator="between" dxfId="2">
      <formula>3</formula>
      <formula>4</formula>
    </cfRule>
  </conditionalFormatting>
  <dataValidations count="1">
    <dataValidation sqref="I5:I28" showDropDown="0" showInputMessage="0" showErrorMessage="0" allowBlank="1" errorTitle="Invalid entry" error="Choose a value from the list." type="list">
      <formula1>=Lists!$A$2:$A$7</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3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46" customWidth="1" min="3" max="3"/>
    <col width="44" customWidth="1" min="4" max="4"/>
    <col width="28" customWidth="1" min="5" max="5"/>
    <col width="28" customWidth="1" min="6" max="6"/>
    <col width="26" customWidth="1" min="7" max="7"/>
    <col width="8" customWidth="1" min="8" max="8"/>
    <col width="17" customWidth="1" min="9" max="9"/>
    <col width="26" customWidth="1" min="10" max="10"/>
    <col width="40" customWidth="1" min="11" max="11"/>
    <col width="8" customWidth="1" min="12" max="12"/>
    <col width="9" customWidth="1" min="13" max="13"/>
    <col width="9" customWidth="1" min="14" max="14"/>
    <col width="9" customWidth="1" min="15" max="15"/>
  </cols>
  <sheetData>
    <row r="1">
      <c r="A1" s="1" t="inlineStr">
        <is>
          <t>Zero Trust — Maturity Questionnaire</t>
        </is>
      </c>
    </row>
    <row r="2">
      <c r="A2" s="2" t="inlineStr">
        <is>
          <t>Answer each question in the yellow column using the 0–4 scale (see Start Here). Grey columns are calculated.</t>
        </is>
      </c>
    </row>
    <row r="4">
      <c r="A4" s="6" t="inlineStr">
        <is>
          <t>ID</t>
        </is>
      </c>
      <c r="B4" s="6" t="inlineStr">
        <is>
          <t>Dimension</t>
        </is>
      </c>
      <c r="C4" s="6" t="inlineStr">
        <is>
          <t>Question</t>
        </is>
      </c>
      <c r="D4" s="6" t="inlineStr">
        <is>
          <t>What “4 - Optimized” looks like</t>
        </is>
      </c>
      <c r="E4" s="6" t="inlineStr">
        <is>
          <t>Evidence to review</t>
        </is>
      </c>
      <c r="F4" s="6" t="inlineStr">
        <is>
          <t>HHS CPG mapping</t>
        </is>
      </c>
      <c r="G4" s="6" t="inlineStr">
        <is>
          <t>Other references</t>
        </is>
      </c>
      <c r="H4" s="6" t="inlineStr">
        <is>
          <t>Weight</t>
        </is>
      </c>
      <c r="I4" s="6" t="inlineStr">
        <is>
          <t>Answer</t>
        </is>
      </c>
      <c r="J4" s="6" t="inlineStr">
        <is>
          <t>Notes</t>
        </is>
      </c>
      <c r="K4" s="6" t="inlineStr">
        <is>
          <t>Recommended action if gap</t>
        </is>
      </c>
      <c r="L4" s="6" t="inlineStr">
        <is>
          <t>Score</t>
        </is>
      </c>
      <c r="M4" s="6" t="inlineStr">
        <is>
          <t>Weighted score</t>
        </is>
      </c>
      <c r="N4" s="6" t="inlineStr">
        <is>
          <t>Weight applied</t>
        </is>
      </c>
      <c r="O4" s="6" t="inlineStr">
        <is>
          <t>Gap points</t>
        </is>
      </c>
    </row>
    <row r="5" ht="41" customHeight="1">
      <c r="A5" s="14" t="inlineStr">
        <is>
          <t>ZT-01</t>
        </is>
      </c>
      <c r="B5" s="15" t="inlineStr">
        <is>
          <t>Identity</t>
        </is>
      </c>
      <c r="C5" s="15" t="inlineStr">
        <is>
          <t>Is multifactor authentication enforced for remote access, email and privileged accounts?</t>
        </is>
      </c>
      <c r="D5" s="15" t="inlineStr">
        <is>
          <t>Phishing-resistant MFA is enforced for all remote access, email and privileged accounts, with no standing exceptions.</t>
        </is>
      </c>
      <c r="E5" s="15" t="inlineStr">
        <is>
          <t>Identity provider MFA coverage report.</t>
        </is>
      </c>
      <c r="F5" s="15" t="inlineStr">
        <is>
          <t>CPG-E: Multifactor Authentication</t>
        </is>
      </c>
      <c r="G5" s="15" t="inlineStr">
        <is>
          <t>HIPAA 45 CFR 164.312(d); CISA ZTMM v2.0 Identity; NIST CSF 2.0 PR.AA</t>
        </is>
      </c>
      <c r="H5" s="16" t="n">
        <v>3</v>
      </c>
      <c r="I5" s="17" t="n"/>
      <c r="J5" s="17" t="n"/>
      <c r="K5" s="15" t="inlineStr">
        <is>
          <t>Enforce MFA for remote access, email and privileged accounts; move privileged users to phishing-resistant methods.</t>
        </is>
      </c>
      <c r="L5" s="18">
        <f>IF(OR(I5="",I5="N/A"),"",VALUE(LEFT(I5,1)))</f>
        <v/>
      </c>
      <c r="M5" s="18">
        <f>IF(L5="",0,L5*H5)</f>
        <v/>
      </c>
      <c r="N5" s="18">
        <f>IF(L5="",0,H5)</f>
        <v/>
      </c>
      <c r="O5" s="18">
        <f>IF(L5="",0,(4-L5)*H5)</f>
        <v/>
      </c>
    </row>
    <row r="6" ht="41" customHeight="1">
      <c r="A6" s="14" t="inlineStr">
        <is>
          <t>ZT-02</t>
        </is>
      </c>
      <c r="B6" s="15" t="inlineStr">
        <is>
          <t>Identity</t>
        </is>
      </c>
      <c r="C6" s="15" t="inlineStr">
        <is>
          <t>Does every workforce member use unique credentials, including on shared clinical workstations?</t>
        </is>
      </c>
      <c r="D6" s="15" t="inlineStr">
        <is>
          <t>No shared or generic accounts are used; shared workstations use fast user switching or badge-based sign-in.</t>
        </is>
      </c>
      <c r="E6" s="15" t="inlineStr">
        <is>
          <t>Directory report of shared or generic accounts.</t>
        </is>
      </c>
      <c r="F6" s="15" t="inlineStr">
        <is>
          <t>CPG-E: Unique Credentials</t>
        </is>
      </c>
      <c r="G6" s="15" t="inlineStr">
        <is>
          <t>HIPAA 45 CFR 164.312(a)(2)(i); NIST CSF 2.0 PR.AA</t>
        </is>
      </c>
      <c r="H6" s="16" t="n">
        <v>3</v>
      </c>
      <c r="I6" s="17" t="n"/>
      <c r="J6" s="17" t="n"/>
      <c r="K6" s="15" t="inlineStr">
        <is>
          <t>Eliminate shared accounts; use fast user switching on shared clinical workstations.</t>
        </is>
      </c>
      <c r="L6" s="18">
        <f>IF(OR(I6="",I6="N/A"),"",VALUE(LEFT(I6,1)))</f>
        <v/>
      </c>
      <c r="M6" s="18">
        <f>IF(L6="",0,L6*H6)</f>
        <v/>
      </c>
      <c r="N6" s="18">
        <f>IF(L6="",0,H6)</f>
        <v/>
      </c>
      <c r="O6" s="18">
        <f>IF(L6="",0,(4-L6)*H6)</f>
        <v/>
      </c>
    </row>
    <row r="7" ht="28" customHeight="1">
      <c r="A7" s="14" t="inlineStr">
        <is>
          <t>ZT-03</t>
        </is>
      </c>
      <c r="B7" s="15" t="inlineStr">
        <is>
          <t>Identity</t>
        </is>
      </c>
      <c r="C7" s="15" t="inlineStr">
        <is>
          <t>Are administrator accounts separate from daily user accounts and granted only when needed?</t>
        </is>
      </c>
      <c r="D7" s="15" t="inlineStr">
        <is>
          <t>Privileged access uses separate accounts with just-in-time elevation, approval and logging.</t>
        </is>
      </c>
      <c r="E7" s="15" t="inlineStr">
        <is>
          <t>Privileged account inventory.</t>
        </is>
      </c>
      <c r="F7" s="15" t="inlineStr">
        <is>
          <t>CPG-E: Separate User and Privileged Accounts</t>
        </is>
      </c>
      <c r="G7" s="15" t="inlineStr">
        <is>
          <t>CISA ZTMM v2.0 Identity; NIST CSF 2.0 PR.AA</t>
        </is>
      </c>
      <c r="H7" s="16" t="n">
        <v>3</v>
      </c>
      <c r="I7" s="17" t="n"/>
      <c r="J7" s="17" t="n"/>
      <c r="K7" s="15" t="inlineStr">
        <is>
          <t>Separate privileged accounts and adopt just-in-time elevation.</t>
        </is>
      </c>
      <c r="L7" s="18">
        <f>IF(OR(I7="",I7="N/A"),"",VALUE(LEFT(I7,1)))</f>
        <v/>
      </c>
      <c r="M7" s="18">
        <f>IF(L7="",0,L7*H7)</f>
        <v/>
      </c>
      <c r="N7" s="18">
        <f>IF(L7="",0,H7)</f>
        <v/>
      </c>
      <c r="O7" s="18">
        <f>IF(L7="",0,(4-L7)*H7)</f>
        <v/>
      </c>
    </row>
    <row r="8" ht="28" customHeight="1">
      <c r="A8" s="14" t="inlineStr">
        <is>
          <t>ZT-04</t>
        </is>
      </c>
      <c r="B8" s="15" t="inlineStr">
        <is>
          <t>Identity</t>
        </is>
      </c>
      <c r="C8" s="15" t="inlineStr">
        <is>
          <t>Are the accounts of departing workforce members and vendors revoked promptly?</t>
        </is>
      </c>
      <c r="D8" s="15" t="inlineStr">
        <is>
          <t>Access is revoked within 24 hours of departure or contract end, verified by periodic reconciliation.</t>
        </is>
      </c>
      <c r="E8" s="15" t="inlineStr">
        <is>
          <t>Offboarding records; access reviews.</t>
        </is>
      </c>
      <c r="F8" s="15" t="inlineStr">
        <is>
          <t>CPG-E: Revoke Credentials for Departing Workforce Members</t>
        </is>
      </c>
      <c r="G8" s="15" t="inlineStr">
        <is>
          <t>HIPAA 45 CFR 164.308(a)(3)(ii)(C)</t>
        </is>
      </c>
      <c r="H8" s="16" t="n">
        <v>3</v>
      </c>
      <c r="I8" s="17" t="n"/>
      <c r="J8" s="17" t="n"/>
      <c r="K8" s="15" t="inlineStr">
        <is>
          <t>Automate revocation from HR and vendor records and reconcile monthly.</t>
        </is>
      </c>
      <c r="L8" s="18">
        <f>IF(OR(I8="",I8="N/A"),"",VALUE(LEFT(I8,1)))</f>
        <v/>
      </c>
      <c r="M8" s="18">
        <f>IF(L8="",0,L8*H8)</f>
        <v/>
      </c>
      <c r="N8" s="18">
        <f>IF(L8="",0,H8)</f>
        <v/>
      </c>
      <c r="O8" s="18">
        <f>IF(L8="",0,(4-L8)*H8)</f>
        <v/>
      </c>
    </row>
    <row r="9" ht="41" customHeight="1">
      <c r="A9" s="14" t="inlineStr">
        <is>
          <t>ZT-05</t>
        </is>
      </c>
      <c r="B9" s="15" t="inlineStr">
        <is>
          <t>Devices</t>
        </is>
      </c>
      <c r="C9" s="15" t="inlineStr">
        <is>
          <t>Is there a complete inventory of endpoints, servers and connected medical devices?</t>
        </is>
      </c>
      <c r="D9" s="15" t="inlineStr">
        <is>
          <t>All endpoints, servers, network and medical devices are inventoried automatically with owner and location.</t>
        </is>
      </c>
      <c r="E9" s="15" t="inlineStr">
        <is>
          <t>Asset inventory with coverage metrics.</t>
        </is>
      </c>
      <c r="F9" s="15" t="inlineStr">
        <is>
          <t>CPG-X: Asset Inventory</t>
        </is>
      </c>
      <c r="G9" s="15" t="inlineStr">
        <is>
          <t>CISA ZTMM v2.0 Devices; NIST CSF 2.0 ID.AM</t>
        </is>
      </c>
      <c r="H9" s="16" t="n">
        <v>3</v>
      </c>
      <c r="I9" s="17" t="n"/>
      <c r="J9" s="17" t="n"/>
      <c r="K9" s="15" t="inlineStr">
        <is>
          <t>Implement automated asset discovery, including medical devices.</t>
        </is>
      </c>
      <c r="L9" s="18">
        <f>IF(OR(I9="",I9="N/A"),"",VALUE(LEFT(I9,1)))</f>
        <v/>
      </c>
      <c r="M9" s="18">
        <f>IF(L9="",0,L9*H9)</f>
        <v/>
      </c>
      <c r="N9" s="18">
        <f>IF(L9="",0,H9)</f>
        <v/>
      </c>
      <c r="O9" s="18">
        <f>IF(L9="",0,(4-L9)*H9)</f>
        <v/>
      </c>
    </row>
    <row r="10" ht="41" customHeight="1">
      <c r="A10" s="14" t="inlineStr">
        <is>
          <t>ZT-06</t>
        </is>
      </c>
      <c r="B10" s="15" t="inlineStr">
        <is>
          <t>Devices</t>
        </is>
      </c>
      <c r="C10" s="15" t="inlineStr">
        <is>
          <t>Are known exploited vulnerabilities remediated within defined, risk-based timeframes?</t>
        </is>
      </c>
      <c r="D10" s="15" t="inlineStr">
        <is>
          <t>Known exploited and critical vulnerabilities are remediated within defined timeframes, with exceptions approved and tracked.</t>
        </is>
      </c>
      <c r="E10" s="15" t="inlineStr">
        <is>
          <t>Vulnerability management reports; exception register.</t>
        </is>
      </c>
      <c r="F10" s="15" t="inlineStr">
        <is>
          <t>CPG-E: Mitigate Known Vulnerabilities</t>
        </is>
      </c>
      <c r="G10" s="15" t="inlineStr">
        <is>
          <t>NIST CSF 2.0 ID.RA</t>
        </is>
      </c>
      <c r="H10" s="16" t="n">
        <v>3</v>
      </c>
      <c r="I10" s="17" t="n"/>
      <c r="J10" s="17" t="n"/>
      <c r="K10" s="15" t="inlineStr">
        <is>
          <t>Define remediation timeframes by severity and prioritize known exploited vulnerabilities.</t>
        </is>
      </c>
      <c r="L10" s="18">
        <f>IF(OR(I10="",I10="N/A"),"",VALUE(LEFT(I10,1)))</f>
        <v/>
      </c>
      <c r="M10" s="18">
        <f>IF(L10="",0,L10*H10)</f>
        <v/>
      </c>
      <c r="N10" s="18">
        <f>IF(L10="",0,H10)</f>
        <v/>
      </c>
      <c r="O10" s="18">
        <f>IF(L10="",0,(4-L10)*H10)</f>
        <v/>
      </c>
    </row>
    <row r="11" ht="41" customHeight="1">
      <c r="A11" s="14" t="inlineStr">
        <is>
          <t>ZT-07</t>
        </is>
      </c>
      <c r="B11" s="15" t="inlineStr">
        <is>
          <t>Devices</t>
        </is>
      </c>
      <c r="C11" s="15" t="inlineStr">
        <is>
          <t>Is device health and compliance checked before access to PHI is granted?</t>
        </is>
      </c>
      <c r="D11" s="15" t="inlineStr">
        <is>
          <t>Access to PHI requires a managed, compliant device; non-compliant devices are restricted automatically.</t>
        </is>
      </c>
      <c r="E11" s="15" t="inlineStr">
        <is>
          <t>Conditional access and device compliance policies.</t>
        </is>
      </c>
      <c r="F11" s="15" t="inlineStr"/>
      <c r="G11" s="15" t="inlineStr">
        <is>
          <t>CISA ZTMM v2.0 Devices</t>
        </is>
      </c>
      <c r="H11" s="16" t="n">
        <v>2</v>
      </c>
      <c r="I11" s="17" t="n"/>
      <c r="J11" s="17" t="n"/>
      <c r="K11" s="15" t="inlineStr">
        <is>
          <t>Require compliant, managed devices for access to PHI.</t>
        </is>
      </c>
      <c r="L11" s="18">
        <f>IF(OR(I11="",I11="N/A"),"",VALUE(LEFT(I11,1)))</f>
        <v/>
      </c>
      <c r="M11" s="18">
        <f>IF(L11="",0,L11*H11)</f>
        <v/>
      </c>
      <c r="N11" s="18">
        <f>IF(L11="",0,H11)</f>
        <v/>
      </c>
      <c r="O11" s="18">
        <f>IF(L11="",0,(4-L11)*H11)</f>
        <v/>
      </c>
    </row>
    <row r="12" ht="28" customHeight="1">
      <c r="A12" s="14" t="inlineStr">
        <is>
          <t>ZT-08</t>
        </is>
      </c>
      <c r="B12" s="15" t="inlineStr">
        <is>
          <t>Devices</t>
        </is>
      </c>
      <c r="C12" s="15" t="inlineStr">
        <is>
          <t>Are secure configuration baselines applied and configuration drift monitored?</t>
        </is>
      </c>
      <c r="D12" s="15" t="inlineStr">
        <is>
          <t>Approved baselines are applied to all device types and drift is detected and corrected automatically.</t>
        </is>
      </c>
      <c r="E12" s="15" t="inlineStr">
        <is>
          <t>Baseline documents; compliance reports.</t>
        </is>
      </c>
      <c r="F12" s="15" t="inlineStr">
        <is>
          <t>CPG-X: Configuration Management</t>
        </is>
      </c>
      <c r="G12" s="15" t="inlineStr">
        <is>
          <t>NIST CSF 2.0 PR.PS</t>
        </is>
      </c>
      <c r="H12" s="16" t="n">
        <v>2</v>
      </c>
      <c r="I12" s="17" t="n"/>
      <c r="J12" s="17" t="n"/>
      <c r="K12" s="15" t="inlineStr">
        <is>
          <t>Apply security baselines and monitor drift.</t>
        </is>
      </c>
      <c r="L12" s="18">
        <f>IF(OR(I12="",I12="N/A"),"",VALUE(LEFT(I12,1)))</f>
        <v/>
      </c>
      <c r="M12" s="18">
        <f>IF(L12="",0,L12*H12)</f>
        <v/>
      </c>
      <c r="N12" s="18">
        <f>IF(L12="",0,H12)</f>
        <v/>
      </c>
      <c r="O12" s="18">
        <f>IF(L12="",0,(4-L12)*H12)</f>
        <v/>
      </c>
    </row>
    <row r="13" ht="41" customHeight="1">
      <c r="A13" s="14" t="inlineStr">
        <is>
          <t>ZT-09</t>
        </is>
      </c>
      <c r="B13" s="15" t="inlineStr">
        <is>
          <t>Networks</t>
        </is>
      </c>
      <c r="C13" s="15" t="inlineStr">
        <is>
          <t>Is the network segmented so that medical devices, clinical systems, guest and corporate traffic are separated?</t>
        </is>
      </c>
      <c r="D13" s="15" t="inlineStr">
        <is>
          <t>Segments separate medical devices, clinical systems, corporate users and guests, with traffic allowed only by explicit policy.</t>
        </is>
      </c>
      <c r="E13" s="15" t="inlineStr">
        <is>
          <t>Network segmentation design; firewall rules.</t>
        </is>
      </c>
      <c r="F13" s="15" t="inlineStr">
        <is>
          <t>CPG-X: Network Segmentation</t>
        </is>
      </c>
      <c r="G13" s="15" t="inlineStr">
        <is>
          <t>CISA ZTMM v2.0 Networks; NIST CSF 2.0 PR.IR</t>
        </is>
      </c>
      <c r="H13" s="16" t="n">
        <v>3</v>
      </c>
      <c r="I13" s="17" t="n"/>
      <c r="J13" s="17" t="n"/>
      <c r="K13" s="15" t="inlineStr">
        <is>
          <t>Segment the network, starting with medical devices and legacy systems.</t>
        </is>
      </c>
      <c r="L13" s="18">
        <f>IF(OR(I13="",I13="N/A"),"",VALUE(LEFT(I13,1)))</f>
        <v/>
      </c>
      <c r="M13" s="18">
        <f>IF(L13="",0,L13*H13)</f>
        <v/>
      </c>
      <c r="N13" s="18">
        <f>IF(L13="",0,H13)</f>
        <v/>
      </c>
      <c r="O13" s="18">
        <f>IF(L13="",0,(4-L13)*H13)</f>
        <v/>
      </c>
    </row>
    <row r="14" ht="41" customHeight="1">
      <c r="A14" s="14" t="inlineStr">
        <is>
          <t>ZT-10</t>
        </is>
      </c>
      <c r="B14" s="15" t="inlineStr">
        <is>
          <t>Networks</t>
        </is>
      </c>
      <c r="C14" s="15" t="inlineStr">
        <is>
          <t>Is remote and vendor access brokered through controlled, logged and time-limited connections?</t>
        </is>
      </c>
      <c r="D14" s="15" t="inlineStr">
        <is>
          <t>Vendor and remote access uses brokered, MFA-protected, time-limited sessions that are logged and reviewed.</t>
        </is>
      </c>
      <c r="E14" s="15" t="inlineStr">
        <is>
          <t>Remote access architecture; session logs.</t>
        </is>
      </c>
      <c r="F14" s="15" t="inlineStr">
        <is>
          <t>CPG-E: Vendor/Supplier Cybersecurity Requirements</t>
        </is>
      </c>
      <c r="G14" s="15" t="inlineStr">
        <is>
          <t>CISA ZTMM v2.0 Networks</t>
        </is>
      </c>
      <c r="H14" s="16" t="n">
        <v>3</v>
      </c>
      <c r="I14" s="17" t="n"/>
      <c r="J14" s="17" t="n"/>
      <c r="K14" s="15" t="inlineStr">
        <is>
          <t>Replace standing vendor VPNs with brokered, time-limited access.</t>
        </is>
      </c>
      <c r="L14" s="18">
        <f>IF(OR(I14="",I14="N/A"),"",VALUE(LEFT(I14,1)))</f>
        <v/>
      </c>
      <c r="M14" s="18">
        <f>IF(L14="",0,L14*H14)</f>
        <v/>
      </c>
      <c r="N14" s="18">
        <f>IF(L14="",0,H14)</f>
        <v/>
      </c>
      <c r="O14" s="18">
        <f>IF(L14="",0,(4-L14)*H14)</f>
        <v/>
      </c>
    </row>
    <row r="15" ht="28" customHeight="1">
      <c r="A15" s="14" t="inlineStr">
        <is>
          <t>ZT-11</t>
        </is>
      </c>
      <c r="B15" s="15" t="inlineStr">
        <is>
          <t>Networks</t>
        </is>
      </c>
      <c r="C15" s="15" t="inlineStr">
        <is>
          <t>Is PHI encrypted in transit on internal and external connections?</t>
        </is>
      </c>
      <c r="D15" s="15" t="inlineStr">
        <is>
          <t>All connections carrying PHI use current encryption protocols, including internal interfaces.</t>
        </is>
      </c>
      <c r="E15" s="15" t="inlineStr">
        <is>
          <t>Interface and protocol inventory.</t>
        </is>
      </c>
      <c r="F15" s="15" t="inlineStr">
        <is>
          <t>CPG-E: Strong Encryption</t>
        </is>
      </c>
      <c r="G15" s="15" t="inlineStr">
        <is>
          <t>HIPAA 45 CFR 164.312(e)(2)(ii); NIST CSF 2.0 PR.DS</t>
        </is>
      </c>
      <c r="H15" s="16" t="n">
        <v>2</v>
      </c>
      <c r="I15" s="17" t="n"/>
      <c r="J15" s="17" t="n"/>
      <c r="K15" s="15" t="inlineStr">
        <is>
          <t>Encrypt all PHI in transit, including internal HL7 and database connections.</t>
        </is>
      </c>
      <c r="L15" s="18">
        <f>IF(OR(I15="",I15="N/A"),"",VALUE(LEFT(I15,1)))</f>
        <v/>
      </c>
      <c r="M15" s="18">
        <f>IF(L15="",0,L15*H15)</f>
        <v/>
      </c>
      <c r="N15" s="18">
        <f>IF(L15="",0,H15)</f>
        <v/>
      </c>
      <c r="O15" s="18">
        <f>IF(L15="",0,(4-L15)*H15)</f>
        <v/>
      </c>
    </row>
    <row r="16" ht="28" customHeight="1">
      <c r="A16" s="14" t="inlineStr">
        <is>
          <t>ZT-12</t>
        </is>
      </c>
      <c r="B16" s="15" t="inlineStr">
        <is>
          <t>Applications &amp; Workloads</t>
        </is>
      </c>
      <c r="C16" s="15" t="inlineStr">
        <is>
          <t>Are email protections (SPF, DKIM, DMARC, attachment and link scanning) enforced?</t>
        </is>
      </c>
      <c r="D16" s="15" t="inlineStr">
        <is>
          <t>SPF, DKIM and DMARC at enforcement, and attachment and link scanning are applied to all mailboxes.</t>
        </is>
      </c>
      <c r="E16" s="15" t="inlineStr">
        <is>
          <t>DNS records; email security configuration.</t>
        </is>
      </c>
      <c r="F16" s="15" t="inlineStr">
        <is>
          <t>CPG-E: Email Security</t>
        </is>
      </c>
      <c r="G16" s="15" t="inlineStr">
        <is>
          <t>NIST CSF 2.0 PR.PS</t>
        </is>
      </c>
      <c r="H16" s="16" t="n">
        <v>3</v>
      </c>
      <c r="I16" s="17" t="n"/>
      <c r="J16" s="17" t="n"/>
      <c r="K16" s="15" t="inlineStr">
        <is>
          <t>Move DMARC to enforcement and enable attachment and link scanning.</t>
        </is>
      </c>
      <c r="L16" s="18">
        <f>IF(OR(I16="",I16="N/A"),"",VALUE(LEFT(I16,1)))</f>
        <v/>
      </c>
      <c r="M16" s="18">
        <f>IF(L16="",0,L16*H16)</f>
        <v/>
      </c>
      <c r="N16" s="18">
        <f>IF(L16="",0,H16)</f>
        <v/>
      </c>
      <c r="O16" s="18">
        <f>IF(L16="",0,(4-L16)*H16)</f>
        <v/>
      </c>
    </row>
    <row r="17" ht="41" customHeight="1">
      <c r="A17" s="14" t="inlineStr">
        <is>
          <t>ZT-13</t>
        </is>
      </c>
      <c r="B17" s="15" t="inlineStr">
        <is>
          <t>Applications &amp; Workloads</t>
        </is>
      </c>
      <c r="C17" s="15" t="inlineStr">
        <is>
          <t>Is access to applications granted per application based on identity and context, rather than network location?</t>
        </is>
      </c>
      <c r="D17" s="15" t="inlineStr">
        <is>
          <t>Applications are accessed through identity-aware policies; being on the internal network does not grant access by itself.</t>
        </is>
      </c>
      <c r="E17" s="15" t="inlineStr">
        <is>
          <t>Application access policies.</t>
        </is>
      </c>
      <c r="F17" s="15" t="inlineStr"/>
      <c r="G17" s="15" t="inlineStr">
        <is>
          <t>CISA ZTMM v2.0 Applications and Workloads</t>
        </is>
      </c>
      <c r="H17" s="16" t="n">
        <v>2</v>
      </c>
      <c r="I17" s="17" t="n"/>
      <c r="J17" s="17" t="n"/>
      <c r="K17" s="15" t="inlineStr">
        <is>
          <t>Publish critical applications through identity-aware access policies.</t>
        </is>
      </c>
      <c r="L17" s="18">
        <f>IF(OR(I17="",I17="N/A"),"",VALUE(LEFT(I17,1)))</f>
        <v/>
      </c>
      <c r="M17" s="18">
        <f>IF(L17="",0,L17*H17)</f>
        <v/>
      </c>
      <c r="N17" s="18">
        <f>IF(L17="",0,H17)</f>
        <v/>
      </c>
      <c r="O17" s="18">
        <f>IF(L17="",0,(4-L17)*H17)</f>
        <v/>
      </c>
    </row>
    <row r="18" ht="41" customHeight="1">
      <c r="A18" s="14" t="inlineStr">
        <is>
          <t>ZT-14</t>
        </is>
      </c>
      <c r="B18" s="15" t="inlineStr">
        <is>
          <t>Applications &amp; Workloads</t>
        </is>
      </c>
      <c r="C18" s="15" t="inlineStr">
        <is>
          <t>Are internet-facing systems and critical applications tested for vulnerabilities at least annually?</t>
        </is>
      </c>
      <c r="D18" s="15" t="inlineStr">
        <is>
          <t>Penetration tests and vulnerability scans cover internet-facing and critical systems at least annually, with findings tracked.</t>
        </is>
      </c>
      <c r="E18" s="15" t="inlineStr">
        <is>
          <t>Penetration test reports.</t>
        </is>
      </c>
      <c r="F18" s="15" t="inlineStr">
        <is>
          <t>CPG-X: Cybersecurity Testing</t>
        </is>
      </c>
      <c r="G18" s="15" t="inlineStr">
        <is>
          <t>NIST CSF 2.0 ID.RA</t>
        </is>
      </c>
      <c r="H18" s="16" t="n">
        <v>2</v>
      </c>
      <c r="I18" s="17" t="n"/>
      <c r="J18" s="17" t="n"/>
      <c r="K18" s="15" t="inlineStr">
        <is>
          <t>Test internet-facing and critical systems annually and track findings to closure.</t>
        </is>
      </c>
      <c r="L18" s="18">
        <f>IF(OR(I18="",I18="N/A"),"",VALUE(LEFT(I18,1)))</f>
        <v/>
      </c>
      <c r="M18" s="18">
        <f>IF(L18="",0,L18*H18)</f>
        <v/>
      </c>
      <c r="N18" s="18">
        <f>IF(L18="",0,H18)</f>
        <v/>
      </c>
      <c r="O18" s="18">
        <f>IF(L18="",0,(4-L18)*H18)</f>
        <v/>
      </c>
    </row>
    <row r="19" ht="41" customHeight="1">
      <c r="A19" s="14" t="inlineStr">
        <is>
          <t>ZT-15</t>
        </is>
      </c>
      <c r="B19" s="15" t="inlineStr">
        <is>
          <t>Applications &amp; Workloads</t>
        </is>
      </c>
      <c r="C19" s="15" t="inlineStr">
        <is>
          <t>Are vendors required to disclose vulnerabilities and report incidents that affect your systems or data?</t>
        </is>
      </c>
      <c r="D19" s="15" t="inlineStr">
        <is>
          <t>Contracts require vendors to disclose vulnerabilities and report incidents within defined timeframes, and compliance is monitored.</t>
        </is>
      </c>
      <c r="E19" s="15" t="inlineStr">
        <is>
          <t>Contract clauses; vendor notifications received.</t>
        </is>
      </c>
      <c r="F19" s="15" t="inlineStr">
        <is>
          <t>CPG-X: Third Party Vulnerability Disclosure; CPG-X: Third Party Incident Reporting</t>
        </is>
      </c>
      <c r="G19" s="15" t="inlineStr">
        <is>
          <t>HIPAA 45 CFR 164.308(b); NIST CSF 2.0 GV.SC</t>
        </is>
      </c>
      <c r="H19" s="16" t="n">
        <v>3</v>
      </c>
      <c r="I19" s="17" t="n"/>
      <c r="J19" s="17" t="n"/>
      <c r="K19" s="15" t="inlineStr">
        <is>
          <t>Add vulnerability disclosure and incident reporting clauses to vendor contracts.</t>
        </is>
      </c>
      <c r="L19" s="18">
        <f>IF(OR(I19="",I19="N/A"),"",VALUE(LEFT(I19,1)))</f>
        <v/>
      </c>
      <c r="M19" s="18">
        <f>IF(L19="",0,L19*H19)</f>
        <v/>
      </c>
      <c r="N19" s="18">
        <f>IF(L19="",0,H19)</f>
        <v/>
      </c>
      <c r="O19" s="18">
        <f>IF(L19="",0,(4-L19)*H19)</f>
        <v/>
      </c>
    </row>
    <row r="20" ht="41" customHeight="1">
      <c r="A20" s="14" t="inlineStr">
        <is>
          <t>ZT-16</t>
        </is>
      </c>
      <c r="B20" s="15" t="inlineStr">
        <is>
          <t>Data</t>
        </is>
      </c>
      <c r="C20" s="15" t="inlineStr">
        <is>
          <t>Is PHI encrypted at rest on servers, endpoints, removable media and backups?</t>
        </is>
      </c>
      <c r="D20" s="15" t="inlineStr">
        <is>
          <t>Encryption at rest protects PHI on all servers, endpoints, removable media and backups, with keys managed centrally.</t>
        </is>
      </c>
      <c r="E20" s="15" t="inlineStr">
        <is>
          <t>Encryption status reports.</t>
        </is>
      </c>
      <c r="F20" s="15" t="inlineStr">
        <is>
          <t>CPG-E: Strong Encryption</t>
        </is>
      </c>
      <c r="G20" s="15" t="inlineStr">
        <is>
          <t>HIPAA 45 CFR 164.312(a)(2)(iv); NIST CSF 2.0 PR.DS</t>
        </is>
      </c>
      <c r="H20" s="16" t="n">
        <v>3</v>
      </c>
      <c r="I20" s="17" t="n"/>
      <c r="J20" s="17" t="n"/>
      <c r="K20" s="15" t="inlineStr">
        <is>
          <t>Enable encryption at rest everywhere PHI is stored and manage keys centrally.</t>
        </is>
      </c>
      <c r="L20" s="18">
        <f>IF(OR(I20="",I20="N/A"),"",VALUE(LEFT(I20,1)))</f>
        <v/>
      </c>
      <c r="M20" s="18">
        <f>IF(L20="",0,L20*H20)</f>
        <v/>
      </c>
      <c r="N20" s="18">
        <f>IF(L20="",0,H20)</f>
        <v/>
      </c>
      <c r="O20" s="18">
        <f>IF(L20="",0,(4-L20)*H20)</f>
        <v/>
      </c>
    </row>
    <row r="21" ht="41" customHeight="1">
      <c r="A21" s="14" t="inlineStr">
        <is>
          <t>ZT-17</t>
        </is>
      </c>
      <c r="B21" s="15" t="inlineStr">
        <is>
          <t>Data</t>
        </is>
      </c>
      <c r="C21" s="15" t="inlineStr">
        <is>
          <t>Is PHI classified and are its storage locations known?</t>
        </is>
      </c>
      <c r="D21" s="15" t="inlineStr">
        <is>
          <t>PHI is classified and its locations across applications, file shares and cloud services are known and monitored.</t>
        </is>
      </c>
      <c r="E21" s="15" t="inlineStr">
        <is>
          <t>Data map; classification reports.</t>
        </is>
      </c>
      <c r="F21" s="15" t="inlineStr"/>
      <c r="G21" s="15" t="inlineStr">
        <is>
          <t>CISA ZTMM v2.0 Data; NIST CSF 2.0 ID.AM</t>
        </is>
      </c>
      <c r="H21" s="16" t="n">
        <v>2</v>
      </c>
      <c r="I21" s="17" t="n"/>
      <c r="J21" s="17" t="n"/>
      <c r="K21" s="15" t="inlineStr">
        <is>
          <t>Map where PHI is stored and apply classification labels.</t>
        </is>
      </c>
      <c r="L21" s="18">
        <f>IF(OR(I21="",I21="N/A"),"",VALUE(LEFT(I21,1)))</f>
        <v/>
      </c>
      <c r="M21" s="18">
        <f>IF(L21="",0,L21*H21)</f>
        <v/>
      </c>
      <c r="N21" s="18">
        <f>IF(L21="",0,H21)</f>
        <v/>
      </c>
      <c r="O21" s="18">
        <f>IF(L21="",0,(4-L21)*H21)</f>
        <v/>
      </c>
    </row>
    <row r="22" ht="28" customHeight="1">
      <c r="A22" s="14" t="inlineStr">
        <is>
          <t>ZT-18</t>
        </is>
      </c>
      <c r="B22" s="15" t="inlineStr">
        <is>
          <t>Data</t>
        </is>
      </c>
      <c r="C22" s="15" t="inlineStr">
        <is>
          <t>Are data loss prevention controls applied to email, cloud storage and endpoints?</t>
        </is>
      </c>
      <c r="D22" s="15" t="inlineStr">
        <is>
          <t>DLP policies detect and block unauthorized transfer of PHI across email, cloud storage and endpoints.</t>
        </is>
      </c>
      <c r="E22" s="15" t="inlineStr">
        <is>
          <t>DLP policies and incident reports.</t>
        </is>
      </c>
      <c r="F22" s="15" t="inlineStr"/>
      <c r="G22" s="15" t="inlineStr">
        <is>
          <t>CISA ZTMM v2.0 Data; NIST CSF 2.0 PR.DS</t>
        </is>
      </c>
      <c r="H22" s="16" t="n">
        <v>2</v>
      </c>
      <c r="I22" s="17" t="n"/>
      <c r="J22" s="17" t="n"/>
      <c r="K22" s="15" t="inlineStr">
        <is>
          <t>Deploy DLP policies for PHI across email, cloud storage and endpoints.</t>
        </is>
      </c>
      <c r="L22" s="18">
        <f>IF(OR(I22="",I22="N/A"),"",VALUE(LEFT(I22,1)))</f>
        <v/>
      </c>
      <c r="M22" s="18">
        <f>IF(L22="",0,L22*H22)</f>
        <v/>
      </c>
      <c r="N22" s="18">
        <f>IF(L22="",0,H22)</f>
        <v/>
      </c>
      <c r="O22" s="18">
        <f>IF(L22="",0,(4-L22)*H22)</f>
        <v/>
      </c>
    </row>
    <row r="23" ht="28" customHeight="1">
      <c r="A23" s="14" t="inlineStr">
        <is>
          <t>ZT-19</t>
        </is>
      </c>
      <c r="B23" s="15" t="inlineStr">
        <is>
          <t>Data</t>
        </is>
      </c>
      <c r="C23" s="15" t="inlineStr">
        <is>
          <t>Are backups isolated from the production environment and protected against ransomware?</t>
        </is>
      </c>
      <c r="D23" s="15" t="inlineStr">
        <is>
          <t>Backups are logically or physically isolated, immutable and protected by separate credentials.</t>
        </is>
      </c>
      <c r="E23" s="15" t="inlineStr">
        <is>
          <t>Backup architecture.</t>
        </is>
      </c>
      <c r="F23" s="15" t="inlineStr"/>
      <c r="G23" s="15" t="inlineStr">
        <is>
          <t>NIST CSF 2.0 PR.DS</t>
        </is>
      </c>
      <c r="H23" s="16" t="n">
        <v>3</v>
      </c>
      <c r="I23" s="17" t="n"/>
      <c r="J23" s="17" t="n"/>
      <c r="K23" s="15" t="inlineStr">
        <is>
          <t>Isolate backups with separate credentials and immutability.</t>
        </is>
      </c>
      <c r="L23" s="18">
        <f>IF(OR(I23="",I23="N/A"),"",VALUE(LEFT(I23,1)))</f>
        <v/>
      </c>
      <c r="M23" s="18">
        <f>IF(L23="",0,L23*H23)</f>
        <v/>
      </c>
      <c r="N23" s="18">
        <f>IF(L23="",0,H23)</f>
        <v/>
      </c>
      <c r="O23" s="18">
        <f>IF(L23="",0,(4-L23)*H23)</f>
        <v/>
      </c>
    </row>
    <row r="24" ht="41" customHeight="1">
      <c r="A24" s="14" t="inlineStr">
        <is>
          <t>ZT-20</t>
        </is>
      </c>
      <c r="B24" s="15" t="inlineStr">
        <is>
          <t>Visibility &amp; Analytics</t>
        </is>
      </c>
      <c r="C24" s="15" t="inlineStr">
        <is>
          <t>Are security logs from identity, endpoints, network and key applications collected centrally?</t>
        </is>
      </c>
      <c r="D24" s="15" t="inlineStr">
        <is>
          <t>Logs from identity, endpoints, network, cloud and key clinical applications are centralized and retained per policy.</t>
        </is>
      </c>
      <c r="E24" s="15" t="inlineStr">
        <is>
          <t>Log source inventory; retention settings.</t>
        </is>
      </c>
      <c r="F24" s="15" t="inlineStr">
        <is>
          <t>CPG-X: Centralized Log Collection</t>
        </is>
      </c>
      <c r="G24" s="15" t="inlineStr">
        <is>
          <t>HIPAA 45 CFR 164.312(b); CISA ZTMM v2.0 Visibility and Analytics</t>
        </is>
      </c>
      <c r="H24" s="16" t="n">
        <v>3</v>
      </c>
      <c r="I24" s="17" t="n"/>
      <c r="J24" s="17" t="n"/>
      <c r="K24" s="15" t="inlineStr">
        <is>
          <t>Centralize security logs from identity, endpoints, network and key applications.</t>
        </is>
      </c>
      <c r="L24" s="18">
        <f>IF(OR(I24="",I24="N/A"),"",VALUE(LEFT(I24,1)))</f>
        <v/>
      </c>
      <c r="M24" s="18">
        <f>IF(L24="",0,L24*H24)</f>
        <v/>
      </c>
      <c r="N24" s="18">
        <f>IF(L24="",0,H24)</f>
        <v/>
      </c>
      <c r="O24" s="18">
        <f>IF(L24="",0,(4-L24)*H24)</f>
        <v/>
      </c>
    </row>
    <row r="25" ht="41" customHeight="1">
      <c r="A25" s="14" t="inlineStr">
        <is>
          <t>ZT-21</t>
        </is>
      </c>
      <c r="B25" s="15" t="inlineStr">
        <is>
          <t>Visibility &amp; Analytics</t>
        </is>
      </c>
      <c r="C25" s="15" t="inlineStr">
        <is>
          <t>Is there 24x7 capability, in-house or managed, to detect and respond to relevant threats?</t>
        </is>
      </c>
      <c r="D25" s="15" t="inlineStr">
        <is>
          <t>A 24x7 capability detects and responds to the threats most relevant to healthcare, with defined escalation.</t>
        </is>
      </c>
      <c r="E25" s="15" t="inlineStr">
        <is>
          <t>Service contract or SOC procedures; detection metrics.</t>
        </is>
      </c>
      <c r="F25" s="15" t="inlineStr">
        <is>
          <t>CPG-X: Detect and Respond to Relevant Threats and TTPs</t>
        </is>
      </c>
      <c r="G25" s="15" t="inlineStr">
        <is>
          <t>NIST CSF 2.0 DE.CM, DE.AE, RS.MA</t>
        </is>
      </c>
      <c r="H25" s="16" t="n">
        <v>3</v>
      </c>
      <c r="I25" s="17" t="n"/>
      <c r="J25" s="17" t="n"/>
      <c r="K25" s="15" t="inlineStr">
        <is>
          <t>Establish 24x7 detection and response, in-house or through a managed service.</t>
        </is>
      </c>
      <c r="L25" s="18">
        <f>IF(OR(I25="",I25="N/A"),"",VALUE(LEFT(I25,1)))</f>
        <v/>
      </c>
      <c r="M25" s="18">
        <f>IF(L25="",0,L25*H25)</f>
        <v/>
      </c>
      <c r="N25" s="18">
        <f>IF(L25="",0,H25)</f>
        <v/>
      </c>
      <c r="O25" s="18">
        <f>IF(L25="",0,(4-L25)*H25)</f>
        <v/>
      </c>
    </row>
    <row r="26" ht="28" customHeight="1">
      <c r="A26" s="14" t="inlineStr">
        <is>
          <t>ZT-22</t>
        </is>
      </c>
      <c r="B26" s="15" t="inlineStr">
        <is>
          <t>Visibility &amp; Analytics</t>
        </is>
      </c>
      <c r="C26" s="15" t="inlineStr">
        <is>
          <t>Are records of access to PHI reviewed regularly?</t>
        </is>
      </c>
      <c r="D26" s="15" t="inlineStr">
        <is>
          <t>Access to PHI is reviewed regularly, with automated alerts for unusual activity.</t>
        </is>
      </c>
      <c r="E26" s="15" t="inlineStr">
        <is>
          <t>Information system activity review records.</t>
        </is>
      </c>
      <c r="F26" s="15" t="inlineStr"/>
      <c r="G26" s="15" t="inlineStr">
        <is>
          <t>HIPAA 45 CFR 164.308(a)(1)(ii)(D)</t>
        </is>
      </c>
      <c r="H26" s="16" t="n">
        <v>2</v>
      </c>
      <c r="I26" s="17" t="n"/>
      <c r="J26" s="17" t="n"/>
      <c r="K26" s="15" t="inlineStr">
        <is>
          <t>Schedule regular reviews of PHI access and alert on unusual activity.</t>
        </is>
      </c>
      <c r="L26" s="18">
        <f>IF(OR(I26="",I26="N/A"),"",VALUE(LEFT(I26,1)))</f>
        <v/>
      </c>
      <c r="M26" s="18">
        <f>IF(L26="",0,L26*H26)</f>
        <v/>
      </c>
      <c r="N26" s="18">
        <f>IF(L26="",0,H26)</f>
        <v/>
      </c>
      <c r="O26" s="18">
        <f>IF(L26="",0,(4-L26)*H26)</f>
        <v/>
      </c>
    </row>
    <row r="27" ht="41" customHeight="1">
      <c r="A27" s="14" t="inlineStr">
        <is>
          <t>ZT-23</t>
        </is>
      </c>
      <c r="B27" s="15" t="inlineStr">
        <is>
          <t>Governance &amp; Readiness</t>
        </is>
      </c>
      <c r="C27" s="15" t="inlineStr">
        <is>
          <t>Has a security risk analysis been completed in the last 12 months, driving a risk management plan?</t>
        </is>
      </c>
      <c r="D27" s="15" t="inlineStr">
        <is>
          <t>A risk analysis covering all systems with PHI is updated at least annually and drives a funded risk management plan.</t>
        </is>
      </c>
      <c r="E27" s="15" t="inlineStr">
        <is>
          <t>Risk analysis report; risk management plan.</t>
        </is>
      </c>
      <c r="F27" s="15" t="inlineStr"/>
      <c r="G27" s="15" t="inlineStr">
        <is>
          <t>HIPAA 45 CFR 164.308(a)(1)(ii)(A),(B); NIST CSF 2.0 GV.RM</t>
        </is>
      </c>
      <c r="H27" s="16" t="n">
        <v>3</v>
      </c>
      <c r="I27" s="17" t="n"/>
      <c r="J27" s="17" t="n"/>
      <c r="K27" s="15" t="inlineStr">
        <is>
          <t>Update the security risk analysis and link it to a funded risk management plan.</t>
        </is>
      </c>
      <c r="L27" s="18">
        <f>IF(OR(I27="",I27="N/A"),"",VALUE(LEFT(I27,1)))</f>
        <v/>
      </c>
      <c r="M27" s="18">
        <f>IF(L27="",0,L27*H27)</f>
        <v/>
      </c>
      <c r="N27" s="18">
        <f>IF(L27="",0,H27)</f>
        <v/>
      </c>
      <c r="O27" s="18">
        <f>IF(L27="",0,(4-L27)*H27)</f>
        <v/>
      </c>
    </row>
    <row r="28" ht="54" customHeight="1">
      <c r="A28" s="14" t="inlineStr">
        <is>
          <t>ZT-24</t>
        </is>
      </c>
      <c r="B28" s="15" t="inlineStr">
        <is>
          <t>Governance &amp; Readiness</t>
        </is>
      </c>
      <c r="C28" s="15" t="inlineStr">
        <is>
          <t>Is there a tested incident response plan covering ransomware and extended downtime?</t>
        </is>
      </c>
      <c r="D28" s="15" t="inlineStr">
        <is>
          <t>An incident response plan covering ransomware and extended downtime is tested at least annually with clinical and executive participation.</t>
        </is>
      </c>
      <c r="E28" s="15" t="inlineStr">
        <is>
          <t>Incident response plan; exercise reports.</t>
        </is>
      </c>
      <c r="F28" s="15" t="inlineStr">
        <is>
          <t>CPG-E: Basic Incident Planning and Preparedness; CPG-X: Centralized Incident Planning and Preparedness</t>
        </is>
      </c>
      <c r="G28" s="15" t="inlineStr">
        <is>
          <t>HIPAA 45 CFR 164.308(a)(6); NIST CSF 2.0 RS.MA</t>
        </is>
      </c>
      <c r="H28" s="16" t="n">
        <v>3</v>
      </c>
      <c r="I28" s="17" t="n"/>
      <c r="J28" s="17" t="n"/>
      <c r="K28" s="15" t="inlineStr">
        <is>
          <t>Test the incident response plan annually with a ransomware and downtime scenario.</t>
        </is>
      </c>
      <c r="L28" s="18">
        <f>IF(OR(I28="",I28="N/A"),"",VALUE(LEFT(I28,1)))</f>
        <v/>
      </c>
      <c r="M28" s="18">
        <f>IF(L28="",0,L28*H28)</f>
        <v/>
      </c>
      <c r="N28" s="18">
        <f>IF(L28="",0,H28)</f>
        <v/>
      </c>
      <c r="O28" s="18">
        <f>IF(L28="",0,(4-L28)*H28)</f>
        <v/>
      </c>
    </row>
    <row r="29" ht="41" customHeight="1">
      <c r="A29" s="14" t="inlineStr">
        <is>
          <t>ZT-25</t>
        </is>
      </c>
      <c r="B29" s="15" t="inlineStr">
        <is>
          <t>Governance &amp; Readiness</t>
        </is>
      </c>
      <c r="C29" s="15" t="inlineStr">
        <is>
          <t>Does the whole workforce complete cybersecurity awareness training, including phishing exercises?</t>
        </is>
      </c>
      <c r="D29" s="15" t="inlineStr">
        <is>
          <t>All workforce members, including clinicians and contractors, complete training and phishing exercises at least annually.</t>
        </is>
      </c>
      <c r="E29" s="15" t="inlineStr">
        <is>
          <t>Training completion and phishing exercise results.</t>
        </is>
      </c>
      <c r="F29" s="15" t="inlineStr">
        <is>
          <t>CPG-E: Basic Cybersecurity Training</t>
        </is>
      </c>
      <c r="G29" s="15" t="inlineStr">
        <is>
          <t>HIPAA 45 CFR 164.308(a)(5); NIST CSF 2.0 PR.AT</t>
        </is>
      </c>
      <c r="H29" s="16" t="n">
        <v>2</v>
      </c>
      <c r="I29" s="17" t="n"/>
      <c r="J29" s="17" t="n"/>
      <c r="K29" s="15" t="inlineStr">
        <is>
          <t>Run annual training and periodic phishing exercises for the whole workforce.</t>
        </is>
      </c>
      <c r="L29" s="18">
        <f>IF(OR(I29="",I29="N/A"),"",VALUE(LEFT(I29,1)))</f>
        <v/>
      </c>
      <c r="M29" s="18">
        <f>IF(L29="",0,L29*H29)</f>
        <v/>
      </c>
      <c r="N29" s="18">
        <f>IF(L29="",0,H29)</f>
        <v/>
      </c>
      <c r="O29" s="18">
        <f>IF(L29="",0,(4-L29)*H29)</f>
        <v/>
      </c>
    </row>
    <row r="30" ht="41" customHeight="1">
      <c r="A30" s="14" t="inlineStr">
        <is>
          <t>ZT-26</t>
        </is>
      </c>
      <c r="B30" s="15" t="inlineStr">
        <is>
          <t>Governance &amp; Readiness</t>
        </is>
      </c>
      <c r="C30" s="15" t="inlineStr">
        <is>
          <t>Are cybersecurity requirements included in vendor contracts and verified before onboarding?</t>
        </is>
      </c>
      <c r="D30" s="15" t="inlineStr">
        <is>
          <t>Vendors are assessed before onboarding and contracts include cybersecurity requirements that are monitored.</t>
        </is>
      </c>
      <c r="E30" s="15" t="inlineStr">
        <is>
          <t>Vendor assessments; contract templates.</t>
        </is>
      </c>
      <c r="F30" s="15" t="inlineStr">
        <is>
          <t>CPG-E: Vendor/Supplier Cybersecurity Requirements</t>
        </is>
      </c>
      <c r="G30" s="15" t="inlineStr">
        <is>
          <t>NIST CSF 2.0 GV.SC</t>
        </is>
      </c>
      <c r="H30" s="16" t="n">
        <v>3</v>
      </c>
      <c r="I30" s="17" t="n"/>
      <c r="J30" s="17" t="n"/>
      <c r="K30" s="15" t="inlineStr">
        <is>
          <t>Assess vendors before onboarding and standardize cybersecurity contract clauses.</t>
        </is>
      </c>
      <c r="L30" s="18">
        <f>IF(OR(I30="",I30="N/A"),"",VALUE(LEFT(I30,1)))</f>
        <v/>
      </c>
      <c r="M30" s="18">
        <f>IF(L30="",0,L30*H30)</f>
        <v/>
      </c>
      <c r="N30" s="18">
        <f>IF(L30="",0,H30)</f>
        <v/>
      </c>
      <c r="O30" s="18">
        <f>IF(L30="",0,(4-L30)*H30)</f>
        <v/>
      </c>
    </row>
    <row r="31" ht="28" customHeight="1">
      <c r="A31" s="14" t="inlineStr">
        <is>
          <t>ZT-27</t>
        </is>
      </c>
      <c r="B31" s="15" t="inlineStr">
        <is>
          <t>Governance &amp; Readiness</t>
        </is>
      </c>
      <c r="C31" s="15" t="inlineStr">
        <is>
          <t>Are identified vulnerabilities and gaps tracked to closure with owners and dates?</t>
        </is>
      </c>
      <c r="D31" s="15" t="inlineStr">
        <is>
          <t>Every gap has an owner and date, and progress is reported to leadership.</t>
        </is>
      </c>
      <c r="E31" s="15" t="inlineStr">
        <is>
          <t>Remediation tracker.</t>
        </is>
      </c>
      <c r="F31" s="15" t="inlineStr">
        <is>
          <t>CPG-X: Cybersecurity Mitigation</t>
        </is>
      </c>
      <c r="G31" s="15" t="inlineStr">
        <is>
          <t>NIST CSF 2.0 ID.IM</t>
        </is>
      </c>
      <c r="H31" s="16" t="n">
        <v>2</v>
      </c>
      <c r="I31" s="17" t="n"/>
      <c r="J31" s="17" t="n"/>
      <c r="K31" s="15" t="inlineStr">
        <is>
          <t>Track every gap to closure with an owner and target date.</t>
        </is>
      </c>
      <c r="L31" s="18">
        <f>IF(OR(I31="",I31="N/A"),"",VALUE(LEFT(I31,1)))</f>
        <v/>
      </c>
      <c r="M31" s="18">
        <f>IF(L31="",0,L31*H31)</f>
        <v/>
      </c>
      <c r="N31" s="18">
        <f>IF(L31="",0,H31)</f>
        <v/>
      </c>
      <c r="O31" s="18">
        <f>IF(L31="",0,(4-L31)*H31)</f>
        <v/>
      </c>
    </row>
    <row r="32" ht="41" customHeight="1">
      <c r="A32" s="14" t="inlineStr">
        <is>
          <t>ZT-28</t>
        </is>
      </c>
      <c r="B32" s="15" t="inlineStr">
        <is>
          <t>Governance &amp; Readiness</t>
        </is>
      </c>
      <c r="C32" s="15" t="inlineStr">
        <is>
          <t>Is there a Zero Trust strategy with a target maturity per pillar and an executive sponsor?</t>
        </is>
      </c>
      <c r="D32" s="15" t="inlineStr">
        <is>
          <t>An approved strategy sets target maturity for each CISA ZTMM pillar, with an executive sponsor and a funded roadmap.</t>
        </is>
      </c>
      <c r="E32" s="15" t="inlineStr">
        <is>
          <t>Zero Trust strategy document.</t>
        </is>
      </c>
      <c r="F32" s="15" t="inlineStr"/>
      <c r="G32" s="15" t="inlineStr">
        <is>
          <t>CISA ZTMM v2.0 (Governance); NIST CSF 2.0 GV.OC</t>
        </is>
      </c>
      <c r="H32" s="16" t="n">
        <v>1</v>
      </c>
      <c r="I32" s="17" t="n"/>
      <c r="J32" s="17" t="n"/>
      <c r="K32" s="15" t="inlineStr">
        <is>
          <t>Define target maturity per pillar and assign an executive sponsor.</t>
        </is>
      </c>
      <c r="L32" s="18">
        <f>IF(OR(I32="",I32="N/A"),"",VALUE(LEFT(I32,1)))</f>
        <v/>
      </c>
      <c r="M32" s="18">
        <f>IF(L32="",0,L32*H32)</f>
        <v/>
      </c>
      <c r="N32" s="18">
        <f>IF(L32="",0,H32)</f>
        <v/>
      </c>
      <c r="O32" s="18">
        <f>IF(L32="",0,(4-L32)*H32)</f>
        <v/>
      </c>
    </row>
  </sheetData>
  <conditionalFormatting sqref="L5:L32">
    <cfRule type="cellIs" priority="1" operator="between" dxfId="0">
      <formula>0</formula>
      <formula>1</formula>
    </cfRule>
    <cfRule type="cellIs" priority="2" operator="equal" dxfId="1">
      <formula>2</formula>
    </cfRule>
    <cfRule type="cellIs" priority="3" operator="between" dxfId="2">
      <formula>3</formula>
      <formula>4</formula>
    </cfRule>
  </conditionalFormatting>
  <dataValidations count="1">
    <dataValidation sqref="I5:I32" showDropDown="0" showInputMessage="0" showErrorMessage="0" allowBlank="1" errorTitle="Invalid entry" error="Choose a value from the list." type="list">
      <formula1>=Lists!$A$2:$A$7</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43"/>
  <sheetViews>
    <sheetView showGridLines="0" workbookViewId="0">
      <selection activeCell="A1" sqref="A1"/>
    </sheetView>
  </sheetViews>
  <sheetFormatPr baseColWidth="8" defaultRowHeight="15"/>
  <cols>
    <col width="30" customWidth="1" min="1" max="1"/>
    <col width="14" customWidth="1" min="2" max="2"/>
    <col width="12" customWidth="1" min="3" max="3"/>
    <col width="20" customWidth="1" min="4" max="4"/>
    <col width="12" customWidth="1" min="5" max="5"/>
    <col width="12" customWidth="1" min="6" max="6"/>
    <col width="4" customWidth="1" min="7" max="7"/>
  </cols>
  <sheetData>
    <row r="1">
      <c r="A1" s="1" t="inlineStr">
        <is>
          <t>Dashboard</t>
        </is>
      </c>
    </row>
    <row r="2">
      <c r="A2" s="2" t="inlineStr">
        <is>
          <t>Weighted maturity scores on a 0–4 scale. Unanswered and N/A questions are excluded.</t>
        </is>
      </c>
    </row>
    <row r="4">
      <c r="A4" s="6" t="inlineStr">
        <is>
          <t>Service</t>
        </is>
      </c>
      <c r="B4" s="6" t="inlineStr">
        <is>
          <t>Score (0–4)</t>
        </is>
      </c>
      <c r="C4" s="6" t="inlineStr">
        <is>
          <t>Score %</t>
        </is>
      </c>
      <c r="D4" s="6" t="inlineStr">
        <is>
          <t>Maturity level</t>
        </is>
      </c>
      <c r="E4" s="6" t="inlineStr">
        <is>
          <t>Answered</t>
        </is>
      </c>
      <c r="F4" s="6" t="inlineStr">
        <is>
          <t>Questions</t>
        </is>
      </c>
    </row>
    <row r="5">
      <c r="A5" s="7" t="inlineStr">
        <is>
          <t>License Optimization</t>
        </is>
      </c>
      <c r="B5" s="19">
        <f>IFERROR(SUMIFS(AllItems!$I$2:$I$77,AllItems!$A$2:$A$77,A5)/SUMIFS(AllItems!$H$2:$H$77,AllItems!$A$2:$A$77,A5),"")</f>
        <v/>
      </c>
      <c r="C5" s="20">
        <f>IF(B5="","",B5/4)</f>
        <v/>
      </c>
      <c r="D5" s="8">
        <f>IF(B5="","Not assessed",INDEX(Lists!$B$2:$B$6,MIN(5,INT(B5)+1)))</f>
        <v/>
      </c>
      <c r="E5" s="8">
        <f>COUNTIFS(AllItems!$A$2:$A$77,A5,AllItems!$G$2:$G$77,"&gt;=0")</f>
        <v/>
      </c>
      <c r="F5" s="8">
        <f>COUNTIFS(AllItems!$A$2:$A$77,A5)</f>
        <v/>
      </c>
    </row>
    <row r="6">
      <c r="A6" s="7" t="inlineStr">
        <is>
          <t>App Modernization</t>
        </is>
      </c>
      <c r="B6" s="19">
        <f>IFERROR(SUMIFS(AllItems!$I$2:$I$77,AllItems!$A$2:$A$77,A6)/SUMIFS(AllItems!$H$2:$H$77,AllItems!$A$2:$A$77,A6),"")</f>
        <v/>
      </c>
      <c r="C6" s="20">
        <f>IF(B6="","",B6/4)</f>
        <v/>
      </c>
      <c r="D6" s="8">
        <f>IF(B6="","Not assessed",INDEX(Lists!$B$2:$B$6,MIN(5,INT(B6)+1)))</f>
        <v/>
      </c>
      <c r="E6" s="8">
        <f>COUNTIFS(AllItems!$A$2:$A$77,A6,AllItems!$G$2:$G$77,"&gt;=0")</f>
        <v/>
      </c>
      <c r="F6" s="8">
        <f>COUNTIFS(AllItems!$A$2:$A$77,A6)</f>
        <v/>
      </c>
    </row>
    <row r="7">
      <c r="A7" s="7" t="inlineStr">
        <is>
          <t>Zero Trust</t>
        </is>
      </c>
      <c r="B7" s="19">
        <f>IFERROR(SUMIFS(AllItems!$I$2:$I$77,AllItems!$A$2:$A$77,A7)/SUMIFS(AllItems!$H$2:$H$77,AllItems!$A$2:$A$77,A7),"")</f>
        <v/>
      </c>
      <c r="C7" s="20">
        <f>IF(B7="","",B7/4)</f>
        <v/>
      </c>
      <c r="D7" s="8">
        <f>IF(B7="","Not assessed",INDEX(Lists!$B$2:$B$6,MIN(5,INT(B7)+1)))</f>
        <v/>
      </c>
      <c r="E7" s="8">
        <f>COUNTIFS(AllItems!$A$2:$A$77,A7,AllItems!$G$2:$G$77,"&gt;=0")</f>
        <v/>
      </c>
      <c r="F7" s="8">
        <f>COUNTIFS(AllItems!$A$2:$A$77,A7)</f>
        <v/>
      </c>
    </row>
    <row r="8">
      <c r="A8" s="7" t="inlineStr">
        <is>
          <t>Overall</t>
        </is>
      </c>
      <c r="B8" s="21">
        <f>IFERROR(SUM(AllItems!$I$2:$I$77)/SUM(AllItems!$H$2:$H$77),"")</f>
        <v/>
      </c>
      <c r="C8" s="22">
        <f>IF(B8="","",B8/4)</f>
        <v/>
      </c>
      <c r="D8" s="7">
        <f>IF(B8="","Not assessed",INDEX(Lists!$B$2:$B$6,MIN(5,INT(B8)+1)))</f>
        <v/>
      </c>
      <c r="E8" s="7">
        <f>SUM(E5:E7)</f>
        <v/>
      </c>
      <c r="F8" s="7">
        <f>SUM(F5:F7)</f>
        <v/>
      </c>
    </row>
    <row r="10">
      <c r="A10" s="5" t="inlineStr">
        <is>
          <t>HHS Cybersecurity Performance Goals</t>
        </is>
      </c>
    </row>
    <row r="11">
      <c r="A11" s="6" t="inlineStr">
        <is>
          <t>Goal type</t>
        </is>
      </c>
      <c r="B11" s="6" t="inlineStr">
        <is>
          <t>Goals</t>
        </is>
      </c>
      <c r="C11" s="6" t="inlineStr">
        <is>
          <t>Meets</t>
        </is>
      </c>
      <c r="D11" s="6" t="inlineStr">
        <is>
          <t>Partially meets</t>
        </is>
      </c>
      <c r="E11" s="6" t="inlineStr">
        <is>
          <t>Gap</t>
        </is>
      </c>
      <c r="F11" s="6" t="inlineStr">
        <is>
          <t>Not assessed</t>
        </is>
      </c>
    </row>
    <row r="12">
      <c r="A12" s="7" t="inlineStr">
        <is>
          <t>Essential</t>
        </is>
      </c>
      <c r="B12" s="8">
        <f>COUNTIFS('CPG Crosswalk'!$A$5:$A$24,A12)</f>
        <v/>
      </c>
      <c r="C12" s="8">
        <f>COUNTIFS('CPG Crosswalk'!$A$5:$A$24,A12,'CPG Crosswalk'!$E$5:$E$24,"Meets*")</f>
        <v/>
      </c>
      <c r="D12" s="8">
        <f>COUNTIFS('CPG Crosswalk'!$A$5:$A$24,A12,'CPG Crosswalk'!$E$5:$E$24,"Partially*")</f>
        <v/>
      </c>
      <c r="E12" s="8">
        <f>COUNTIFS('CPG Crosswalk'!$A$5:$A$24,A12,'CPG Crosswalk'!$E$5:$E$24,"Gap")</f>
        <v/>
      </c>
      <c r="F12" s="8">
        <f>COUNTIFS('CPG Crosswalk'!$A$5:$A$24,A12,'CPG Crosswalk'!$E$5:$E$24,"Not assessed")</f>
        <v/>
      </c>
    </row>
    <row r="13">
      <c r="A13" s="7" t="inlineStr">
        <is>
          <t>Enhanced</t>
        </is>
      </c>
      <c r="B13" s="8">
        <f>COUNTIFS('CPG Crosswalk'!$A$5:$A$24,A13)</f>
        <v/>
      </c>
      <c r="C13" s="8">
        <f>COUNTIFS('CPG Crosswalk'!$A$5:$A$24,A13,'CPG Crosswalk'!$E$5:$E$24,"Meets*")</f>
        <v/>
      </c>
      <c r="D13" s="8">
        <f>COUNTIFS('CPG Crosswalk'!$A$5:$A$24,A13,'CPG Crosswalk'!$E$5:$E$24,"Partially*")</f>
        <v/>
      </c>
      <c r="E13" s="8">
        <f>COUNTIFS('CPG Crosswalk'!$A$5:$A$24,A13,'CPG Crosswalk'!$E$5:$E$24,"Gap")</f>
        <v/>
      </c>
      <c r="F13" s="8">
        <f>COUNTIFS('CPG Crosswalk'!$A$5:$A$24,A13,'CPG Crosswalk'!$E$5:$E$24,"Not assessed")</f>
        <v/>
      </c>
    </row>
    <row r="15">
      <c r="A15" s="5" t="inlineStr">
        <is>
          <t>License Optimization — by dimension</t>
        </is>
      </c>
    </row>
    <row r="16">
      <c r="A16" s="6" t="inlineStr">
        <is>
          <t>Dimension</t>
        </is>
      </c>
      <c r="B16" s="6" t="inlineStr">
        <is>
          <t>Score (0–4)</t>
        </is>
      </c>
      <c r="C16" s="6" t="inlineStr">
        <is>
          <t>Score %</t>
        </is>
      </c>
      <c r="D16" s="6" t="inlineStr">
        <is>
          <t>Maturity level</t>
        </is>
      </c>
    </row>
    <row r="17">
      <c r="A17" s="8" t="inlineStr">
        <is>
          <t>Governance &amp; Ownership</t>
        </is>
      </c>
      <c r="B17" s="19">
        <f>IFERROR(SUMIFS(AllItems!$I$2:$I$77,AllItems!$A$2:$A$77,"License Optimization",AllItems!$C$2:$C$77,A17)/SUMIFS(AllItems!$H$2:$H$77,AllItems!$A$2:$A$77,"License Optimization",AllItems!$C$2:$C$77,A17),"")</f>
        <v/>
      </c>
      <c r="C17" s="20">
        <f>IF(B17="","",B17/4)</f>
        <v/>
      </c>
      <c r="D17" s="8">
        <f>IF(B17="","Not assessed",INDEX(Lists!$B$2:$B$6,MIN(5,INT(B17)+1)))</f>
        <v/>
      </c>
    </row>
    <row r="18">
      <c r="A18" s="8" t="inlineStr">
        <is>
          <t>Entitlements</t>
        </is>
      </c>
      <c r="B18" s="19">
        <f>IFERROR(SUMIFS(AllItems!$I$2:$I$77,AllItems!$A$2:$A$77,"License Optimization",AllItems!$C$2:$C$77,A18)/SUMIFS(AllItems!$H$2:$H$77,AllItems!$A$2:$A$77,"License Optimization",AllItems!$C$2:$C$77,A18),"")</f>
        <v/>
      </c>
      <c r="C18" s="20">
        <f>IF(B18="","",B18/4)</f>
        <v/>
      </c>
      <c r="D18" s="8">
        <f>IF(B18="","Not assessed",INDEX(Lists!$B$2:$B$6,MIN(5,INT(B18)+1)))</f>
        <v/>
      </c>
    </row>
    <row r="19">
      <c r="A19" s="8" t="inlineStr">
        <is>
          <t>Deployment &amp; Usage</t>
        </is>
      </c>
      <c r="B19" s="19">
        <f>IFERROR(SUMIFS(AllItems!$I$2:$I$77,AllItems!$A$2:$A$77,"License Optimization",AllItems!$C$2:$C$77,A19)/SUMIFS(AllItems!$H$2:$H$77,AllItems!$A$2:$A$77,"License Optimization",AllItems!$C$2:$C$77,A19),"")</f>
        <v/>
      </c>
      <c r="C19" s="20">
        <f>IF(B19="","",B19/4)</f>
        <v/>
      </c>
      <c r="D19" s="8">
        <f>IF(B19="","Not assessed",INDEX(Lists!$B$2:$B$6,MIN(5,INT(B19)+1)))</f>
        <v/>
      </c>
    </row>
    <row r="20">
      <c r="A20" s="8" t="inlineStr">
        <is>
          <t>Security Value Realization</t>
        </is>
      </c>
      <c r="B20" s="19">
        <f>IFERROR(SUMIFS(AllItems!$I$2:$I$77,AllItems!$A$2:$A$77,"License Optimization",AllItems!$C$2:$C$77,A20)/SUMIFS(AllItems!$H$2:$H$77,AllItems!$A$2:$A$77,"License Optimization",AllItems!$C$2:$C$77,A20),"")</f>
        <v/>
      </c>
      <c r="C20" s="20">
        <f>IF(B20="","",B20/4)</f>
        <v/>
      </c>
      <c r="D20" s="8">
        <f>IF(B20="","Not assessed",INDEX(Lists!$B$2:$B$6,MIN(5,INT(B20)+1)))</f>
        <v/>
      </c>
    </row>
    <row r="21">
      <c r="A21" s="8" t="inlineStr">
        <is>
          <t>Cloud Cost</t>
        </is>
      </c>
      <c r="B21" s="19">
        <f>IFERROR(SUMIFS(AllItems!$I$2:$I$77,AllItems!$A$2:$A$77,"License Optimization",AllItems!$C$2:$C$77,A21)/SUMIFS(AllItems!$H$2:$H$77,AllItems!$A$2:$A$77,"License Optimization",AllItems!$C$2:$C$77,A21),"")</f>
        <v/>
      </c>
      <c r="C21" s="20">
        <f>IF(B21="","",B21/4)</f>
        <v/>
      </c>
      <c r="D21" s="8">
        <f>IF(B21="","Not assessed",INDEX(Lists!$B$2:$B$6,MIN(5,INT(B21)+1)))</f>
        <v/>
      </c>
    </row>
    <row r="22">
      <c r="A22" s="8" t="inlineStr">
        <is>
          <t>Programs &amp; Negotiation</t>
        </is>
      </c>
      <c r="B22" s="19">
        <f>IFERROR(SUMIFS(AllItems!$I$2:$I$77,AllItems!$A$2:$A$77,"License Optimization",AllItems!$C$2:$C$77,A22)/SUMIFS(AllItems!$H$2:$H$77,AllItems!$A$2:$A$77,"License Optimization",AllItems!$C$2:$C$77,A22),"")</f>
        <v/>
      </c>
      <c r="C22" s="20">
        <f>IF(B22="","",B22/4)</f>
        <v/>
      </c>
      <c r="D22" s="8">
        <f>IF(B22="","Not assessed",INDEX(Lists!$B$2:$B$6,MIN(5,INT(B22)+1)))</f>
        <v/>
      </c>
    </row>
    <row r="25">
      <c r="A25" s="5" t="inlineStr">
        <is>
          <t>App Modernization — by dimension</t>
        </is>
      </c>
    </row>
    <row r="26">
      <c r="A26" s="6" t="inlineStr">
        <is>
          <t>Dimension</t>
        </is>
      </c>
      <c r="B26" s="6" t="inlineStr">
        <is>
          <t>Score (0–4)</t>
        </is>
      </c>
      <c r="C26" s="6" t="inlineStr">
        <is>
          <t>Score %</t>
        </is>
      </c>
      <c r="D26" s="6" t="inlineStr">
        <is>
          <t>Maturity level</t>
        </is>
      </c>
    </row>
    <row r="27">
      <c r="A27" s="8" t="inlineStr">
        <is>
          <t>Portfolio Visibility</t>
        </is>
      </c>
      <c r="B27" s="19">
        <f>IFERROR(SUMIFS(AllItems!$I$2:$I$77,AllItems!$A$2:$A$77,"App Modernization",AllItems!$C$2:$C$77,A27)/SUMIFS(AllItems!$H$2:$H$77,AllItems!$A$2:$A$77,"App Modernization",AllItems!$C$2:$C$77,A27),"")</f>
        <v/>
      </c>
      <c r="C27" s="20">
        <f>IF(B27="","",B27/4)</f>
        <v/>
      </c>
      <c r="D27" s="8">
        <f>IF(B27="","Not assessed",INDEX(Lists!$B$2:$B$6,MIN(5,INT(B27)+1)))</f>
        <v/>
      </c>
    </row>
    <row r="28">
      <c r="A28" s="8" t="inlineStr">
        <is>
          <t>Lifecycle &amp; Supportability</t>
        </is>
      </c>
      <c r="B28" s="19">
        <f>IFERROR(SUMIFS(AllItems!$I$2:$I$77,AllItems!$A$2:$A$77,"App Modernization",AllItems!$C$2:$C$77,A28)/SUMIFS(AllItems!$H$2:$H$77,AllItems!$A$2:$A$77,"App Modernization",AllItems!$C$2:$C$77,A28),"")</f>
        <v/>
      </c>
      <c r="C28" s="20">
        <f>IF(B28="","",B28/4)</f>
        <v/>
      </c>
      <c r="D28" s="8">
        <f>IF(B28="","Not assessed",INDEX(Lists!$B$2:$B$6,MIN(5,INT(B28)+1)))</f>
        <v/>
      </c>
    </row>
    <row r="29">
      <c r="A29" s="8" t="inlineStr">
        <is>
          <t>Rationalization &amp; Roadmap</t>
        </is>
      </c>
      <c r="B29" s="19">
        <f>IFERROR(SUMIFS(AllItems!$I$2:$I$77,AllItems!$A$2:$A$77,"App Modernization",AllItems!$C$2:$C$77,A29)/SUMIFS(AllItems!$H$2:$H$77,AllItems!$A$2:$A$77,"App Modernization",AllItems!$C$2:$C$77,A29),"")</f>
        <v/>
      </c>
      <c r="C29" s="20">
        <f>IF(B29="","",B29/4)</f>
        <v/>
      </c>
      <c r="D29" s="8">
        <f>IF(B29="","Not assessed",INDEX(Lists!$B$2:$B$6,MIN(5,INT(B29)+1)))</f>
        <v/>
      </c>
    </row>
    <row r="30">
      <c r="A30" s="8" t="inlineStr">
        <is>
          <t>Engineering &amp; Release</t>
        </is>
      </c>
      <c r="B30" s="19">
        <f>IFERROR(SUMIFS(AllItems!$I$2:$I$77,AllItems!$A$2:$A$77,"App Modernization",AllItems!$C$2:$C$77,A30)/SUMIFS(AllItems!$H$2:$H$77,AllItems!$A$2:$A$77,"App Modernization",AllItems!$C$2:$C$77,A30),"")</f>
        <v/>
      </c>
      <c r="C30" s="20">
        <f>IF(B30="","",B30/4)</f>
        <v/>
      </c>
      <c r="D30" s="8">
        <f>IF(B30="","Not assessed",INDEX(Lists!$B$2:$B$6,MIN(5,INT(B30)+1)))</f>
        <v/>
      </c>
    </row>
    <row r="31">
      <c r="A31" s="8" t="inlineStr">
        <is>
          <t>Resilience &amp; Recovery</t>
        </is>
      </c>
      <c r="B31" s="19">
        <f>IFERROR(SUMIFS(AllItems!$I$2:$I$77,AllItems!$A$2:$A$77,"App Modernization",AllItems!$C$2:$C$77,A31)/SUMIFS(AllItems!$H$2:$H$77,AllItems!$A$2:$A$77,"App Modernization",AllItems!$C$2:$C$77,A31),"")</f>
        <v/>
      </c>
      <c r="C31" s="20">
        <f>IF(B31="","",B31/4)</f>
        <v/>
      </c>
      <c r="D31" s="8">
        <f>IF(B31="","Not assessed",INDEX(Lists!$B$2:$B$6,MIN(5,INT(B31)+1)))</f>
        <v/>
      </c>
    </row>
    <row r="32">
      <c r="A32" s="8" t="inlineStr">
        <is>
          <t>Cloud &amp; Data Readiness</t>
        </is>
      </c>
      <c r="B32" s="19">
        <f>IFERROR(SUMIFS(AllItems!$I$2:$I$77,AllItems!$A$2:$A$77,"App Modernization",AllItems!$C$2:$C$77,A32)/SUMIFS(AllItems!$H$2:$H$77,AllItems!$A$2:$A$77,"App Modernization",AllItems!$C$2:$C$77,A32),"")</f>
        <v/>
      </c>
      <c r="C32" s="20">
        <f>IF(B32="","",B32/4)</f>
        <v/>
      </c>
      <c r="D32" s="8">
        <f>IF(B32="","Not assessed",INDEX(Lists!$B$2:$B$6,MIN(5,INT(B32)+1)))</f>
        <v/>
      </c>
    </row>
    <row r="35">
      <c r="A35" s="5" t="inlineStr">
        <is>
          <t>Zero Trust — by dimension</t>
        </is>
      </c>
    </row>
    <row r="36">
      <c r="A36" s="6" t="inlineStr">
        <is>
          <t>Dimension</t>
        </is>
      </c>
      <c r="B36" s="6" t="inlineStr">
        <is>
          <t>Score (0–4)</t>
        </is>
      </c>
      <c r="C36" s="6" t="inlineStr">
        <is>
          <t>Score %</t>
        </is>
      </c>
      <c r="D36" s="6" t="inlineStr">
        <is>
          <t>Maturity level</t>
        </is>
      </c>
    </row>
    <row r="37">
      <c r="A37" s="8" t="inlineStr">
        <is>
          <t>Identity</t>
        </is>
      </c>
      <c r="B37" s="19">
        <f>IFERROR(SUMIFS(AllItems!$I$2:$I$77,AllItems!$A$2:$A$77,"Zero Trust",AllItems!$C$2:$C$77,A37)/SUMIFS(AllItems!$H$2:$H$77,AllItems!$A$2:$A$77,"Zero Trust",AllItems!$C$2:$C$77,A37),"")</f>
        <v/>
      </c>
      <c r="C37" s="20">
        <f>IF(B37="","",B37/4)</f>
        <v/>
      </c>
      <c r="D37" s="8">
        <f>IF(B37="","Not assessed",INDEX(Lists!$B$2:$B$6,MIN(5,INT(B37)+1)))</f>
        <v/>
      </c>
    </row>
    <row r="38">
      <c r="A38" s="8" t="inlineStr">
        <is>
          <t>Devices</t>
        </is>
      </c>
      <c r="B38" s="19">
        <f>IFERROR(SUMIFS(AllItems!$I$2:$I$77,AllItems!$A$2:$A$77,"Zero Trust",AllItems!$C$2:$C$77,A38)/SUMIFS(AllItems!$H$2:$H$77,AllItems!$A$2:$A$77,"Zero Trust",AllItems!$C$2:$C$77,A38),"")</f>
        <v/>
      </c>
      <c r="C38" s="20">
        <f>IF(B38="","",B38/4)</f>
        <v/>
      </c>
      <c r="D38" s="8">
        <f>IF(B38="","Not assessed",INDEX(Lists!$B$2:$B$6,MIN(5,INT(B38)+1)))</f>
        <v/>
      </c>
    </row>
    <row r="39">
      <c r="A39" s="8" t="inlineStr">
        <is>
          <t>Networks</t>
        </is>
      </c>
      <c r="B39" s="19">
        <f>IFERROR(SUMIFS(AllItems!$I$2:$I$77,AllItems!$A$2:$A$77,"Zero Trust",AllItems!$C$2:$C$77,A39)/SUMIFS(AllItems!$H$2:$H$77,AllItems!$A$2:$A$77,"Zero Trust",AllItems!$C$2:$C$77,A39),"")</f>
        <v/>
      </c>
      <c r="C39" s="20">
        <f>IF(B39="","",B39/4)</f>
        <v/>
      </c>
      <c r="D39" s="8">
        <f>IF(B39="","Not assessed",INDEX(Lists!$B$2:$B$6,MIN(5,INT(B39)+1)))</f>
        <v/>
      </c>
    </row>
    <row r="40">
      <c r="A40" s="8" t="inlineStr">
        <is>
          <t>Applications &amp; Workloads</t>
        </is>
      </c>
      <c r="B40" s="19">
        <f>IFERROR(SUMIFS(AllItems!$I$2:$I$77,AllItems!$A$2:$A$77,"Zero Trust",AllItems!$C$2:$C$77,A40)/SUMIFS(AllItems!$H$2:$H$77,AllItems!$A$2:$A$77,"Zero Trust",AllItems!$C$2:$C$77,A40),"")</f>
        <v/>
      </c>
      <c r="C40" s="20">
        <f>IF(B40="","",B40/4)</f>
        <v/>
      </c>
      <c r="D40" s="8">
        <f>IF(B40="","Not assessed",INDEX(Lists!$B$2:$B$6,MIN(5,INT(B40)+1)))</f>
        <v/>
      </c>
    </row>
    <row r="41">
      <c r="A41" s="8" t="inlineStr">
        <is>
          <t>Data</t>
        </is>
      </c>
      <c r="B41" s="19">
        <f>IFERROR(SUMIFS(AllItems!$I$2:$I$77,AllItems!$A$2:$A$77,"Zero Trust",AllItems!$C$2:$C$77,A41)/SUMIFS(AllItems!$H$2:$H$77,AllItems!$A$2:$A$77,"Zero Trust",AllItems!$C$2:$C$77,A41),"")</f>
        <v/>
      </c>
      <c r="C41" s="20">
        <f>IF(B41="","",B41/4)</f>
        <v/>
      </c>
      <c r="D41" s="8">
        <f>IF(B41="","Not assessed",INDEX(Lists!$B$2:$B$6,MIN(5,INT(B41)+1)))</f>
        <v/>
      </c>
    </row>
    <row r="42">
      <c r="A42" s="8" t="inlineStr">
        <is>
          <t>Visibility &amp; Analytics</t>
        </is>
      </c>
      <c r="B42" s="19">
        <f>IFERROR(SUMIFS(AllItems!$I$2:$I$77,AllItems!$A$2:$A$77,"Zero Trust",AllItems!$C$2:$C$77,A42)/SUMIFS(AllItems!$H$2:$H$77,AllItems!$A$2:$A$77,"Zero Trust",AllItems!$C$2:$C$77,A42),"")</f>
        <v/>
      </c>
      <c r="C42" s="20">
        <f>IF(B42="","",B42/4)</f>
        <v/>
      </c>
      <c r="D42" s="8">
        <f>IF(B42="","Not assessed",INDEX(Lists!$B$2:$B$6,MIN(5,INT(B42)+1)))</f>
        <v/>
      </c>
    </row>
    <row r="43">
      <c r="A43" s="8" t="inlineStr">
        <is>
          <t>Governance &amp; Readiness</t>
        </is>
      </c>
      <c r="B43" s="19">
        <f>IFERROR(SUMIFS(AllItems!$I$2:$I$77,AllItems!$A$2:$A$77,"Zero Trust",AllItems!$C$2:$C$77,A43)/SUMIFS(AllItems!$H$2:$H$77,AllItems!$A$2:$A$77,"Zero Trust",AllItems!$C$2:$C$77,A43),"")</f>
        <v/>
      </c>
      <c r="C43" s="20">
        <f>IF(B43="","",B43/4)</f>
        <v/>
      </c>
      <c r="D43" s="8">
        <f>IF(B43="","Not assessed",INDEX(Lists!$B$2:$B$6,MIN(5,INT(B43)+1)))</f>
        <v/>
      </c>
    </row>
  </sheetData>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L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8" customWidth="1" min="3" max="3"/>
    <col width="20" customWidth="1" min="4" max="4"/>
    <col width="48" customWidth="1" min="5" max="5"/>
    <col width="7" customWidth="1" min="6" max="6"/>
    <col width="7" customWidth="1" min="7" max="7"/>
    <col width="9" customWidth="1" min="8" max="8"/>
    <col width="44" customWidth="1" min="9" max="9"/>
    <col width="30" customWidth="1" min="10" max="10"/>
    <col hidden="1" width="8" customWidth="1" min="11" max="11"/>
    <col hidden="1" width="6" customWidth="1" min="12" max="12"/>
  </cols>
  <sheetData>
    <row r="1">
      <c r="A1" s="1" t="inlineStr">
        <is>
          <t>Priority Gaps</t>
        </is>
      </c>
    </row>
    <row r="2">
      <c r="A2" s="2" t="inlineStr">
        <is>
          <t>The 20 answered items with the most gap points ((4 − score) × weight). Updates automatically.</t>
        </is>
      </c>
    </row>
    <row r="4">
      <c r="A4" s="6" t="inlineStr">
        <is>
          <t>Rank</t>
        </is>
      </c>
      <c r="B4" s="6" t="inlineStr">
        <is>
          <t>Service</t>
        </is>
      </c>
      <c r="C4" s="6" t="inlineStr">
        <is>
          <t>ID</t>
        </is>
      </c>
      <c r="D4" s="6" t="inlineStr">
        <is>
          <t>Dimension</t>
        </is>
      </c>
      <c r="E4" s="6" t="inlineStr">
        <is>
          <t>Question</t>
        </is>
      </c>
      <c r="F4" s="6" t="inlineStr">
        <is>
          <t>Score</t>
        </is>
      </c>
      <c r="G4" s="6" t="inlineStr">
        <is>
          <t>Weight</t>
        </is>
      </c>
      <c r="H4" s="6" t="inlineStr">
        <is>
          <t>Gap points</t>
        </is>
      </c>
      <c r="I4" s="6" t="inlineStr">
        <is>
          <t>Recommended action</t>
        </is>
      </c>
      <c r="J4" s="6" t="inlineStr">
        <is>
          <t>HHS CPG mapping</t>
        </is>
      </c>
      <c r="K4" s="6" t="inlineStr">
        <is>
          <t>Key</t>
        </is>
      </c>
      <c r="L4" s="6" t="inlineStr">
        <is>
          <t>Row</t>
        </is>
      </c>
    </row>
    <row r="5" ht="40" customHeight="1">
      <c r="A5" s="16" t="n">
        <v>1</v>
      </c>
      <c r="B5" s="15">
        <f>IF(INDEX(AllItems!$J$2:$J$77,L5)&gt;0,INDEX(AllItems!$A$2:$A$77,L5),"")</f>
        <v/>
      </c>
      <c r="C5" s="16">
        <f>IF(INDEX(AllItems!$J$2:$J$77,L5)&gt;0,INDEX(AllItems!$B$2:$B$77,L5),"")</f>
        <v/>
      </c>
      <c r="D5" s="15">
        <f>IF(INDEX(AllItems!$J$2:$J$77,L5)&gt;0,INDEX(AllItems!$C$2:$C$77,L5),"")</f>
        <v/>
      </c>
      <c r="E5" s="15">
        <f>IF(INDEX(AllItems!$J$2:$J$77,L5)&gt;0,INDEX(AllItems!$D$2:$D$77,L5),"")</f>
        <v/>
      </c>
      <c r="F5" s="16">
        <f>IF(INDEX(AllItems!$J$2:$J$77,L5)&gt;0,INDEX(AllItems!$G$2:$G$77,L5),"")</f>
        <v/>
      </c>
      <c r="G5" s="16">
        <f>IF(INDEX(AllItems!$J$2:$J$77,L5)&gt;0,INDEX(AllItems!$L$2:$L$77,L5),"")</f>
        <v/>
      </c>
      <c r="H5" s="16">
        <f>IF(INDEX(AllItems!$J$2:$J$77,L5)&gt;0,INDEX(AllItems!$J$2:$J$77,L5),"")</f>
        <v/>
      </c>
      <c r="I5" s="15">
        <f>IF(INDEX(AllItems!$J$2:$J$77,L5)&gt;0,INDEX(AllItems!$E$2:$E$77,L5),"")</f>
        <v/>
      </c>
      <c r="J5" s="15">
        <f>IF(INDEX(AllItems!$J$2:$J$77,L5)&gt;0,INDEX(AllItems!$F$2:$F$77,L5),"")</f>
        <v/>
      </c>
      <c r="K5" s="23">
        <f>LARGE(AllItems!$K$2:$K$77,A5)</f>
        <v/>
      </c>
      <c r="L5" s="23">
        <f>MATCH(K5,AllItems!$K$2:$K$77,0)</f>
        <v/>
      </c>
    </row>
    <row r="6" ht="40" customHeight="1">
      <c r="A6" s="16" t="n">
        <v>2</v>
      </c>
      <c r="B6" s="15">
        <f>IF(INDEX(AllItems!$J$2:$J$77,L6)&gt;0,INDEX(AllItems!$A$2:$A$77,L6),"")</f>
        <v/>
      </c>
      <c r="C6" s="16">
        <f>IF(INDEX(AllItems!$J$2:$J$77,L6)&gt;0,INDEX(AllItems!$B$2:$B$77,L6),"")</f>
        <v/>
      </c>
      <c r="D6" s="15">
        <f>IF(INDEX(AllItems!$J$2:$J$77,L6)&gt;0,INDEX(AllItems!$C$2:$C$77,L6),"")</f>
        <v/>
      </c>
      <c r="E6" s="15">
        <f>IF(INDEX(AllItems!$J$2:$J$77,L6)&gt;0,INDEX(AllItems!$D$2:$D$77,L6),"")</f>
        <v/>
      </c>
      <c r="F6" s="16">
        <f>IF(INDEX(AllItems!$J$2:$J$77,L6)&gt;0,INDEX(AllItems!$G$2:$G$77,L6),"")</f>
        <v/>
      </c>
      <c r="G6" s="16">
        <f>IF(INDEX(AllItems!$J$2:$J$77,L6)&gt;0,INDEX(AllItems!$L$2:$L$77,L6),"")</f>
        <v/>
      </c>
      <c r="H6" s="16">
        <f>IF(INDEX(AllItems!$J$2:$J$77,L6)&gt;0,INDEX(AllItems!$J$2:$J$77,L6),"")</f>
        <v/>
      </c>
      <c r="I6" s="15">
        <f>IF(INDEX(AllItems!$J$2:$J$77,L6)&gt;0,INDEX(AllItems!$E$2:$E$77,L6),"")</f>
        <v/>
      </c>
      <c r="J6" s="15">
        <f>IF(INDEX(AllItems!$J$2:$J$77,L6)&gt;0,INDEX(AllItems!$F$2:$F$77,L6),"")</f>
        <v/>
      </c>
      <c r="K6" s="23">
        <f>LARGE(AllItems!$K$2:$K$77,A6)</f>
        <v/>
      </c>
      <c r="L6" s="23">
        <f>MATCH(K6,AllItems!$K$2:$K$77,0)</f>
        <v/>
      </c>
    </row>
    <row r="7" ht="40" customHeight="1">
      <c r="A7" s="16" t="n">
        <v>3</v>
      </c>
      <c r="B7" s="15">
        <f>IF(INDEX(AllItems!$J$2:$J$77,L7)&gt;0,INDEX(AllItems!$A$2:$A$77,L7),"")</f>
        <v/>
      </c>
      <c r="C7" s="16">
        <f>IF(INDEX(AllItems!$J$2:$J$77,L7)&gt;0,INDEX(AllItems!$B$2:$B$77,L7),"")</f>
        <v/>
      </c>
      <c r="D7" s="15">
        <f>IF(INDEX(AllItems!$J$2:$J$77,L7)&gt;0,INDEX(AllItems!$C$2:$C$77,L7),"")</f>
        <v/>
      </c>
      <c r="E7" s="15">
        <f>IF(INDEX(AllItems!$J$2:$J$77,L7)&gt;0,INDEX(AllItems!$D$2:$D$77,L7),"")</f>
        <v/>
      </c>
      <c r="F7" s="16">
        <f>IF(INDEX(AllItems!$J$2:$J$77,L7)&gt;0,INDEX(AllItems!$G$2:$G$77,L7),"")</f>
        <v/>
      </c>
      <c r="G7" s="16">
        <f>IF(INDEX(AllItems!$J$2:$J$77,L7)&gt;0,INDEX(AllItems!$L$2:$L$77,L7),"")</f>
        <v/>
      </c>
      <c r="H7" s="16">
        <f>IF(INDEX(AllItems!$J$2:$J$77,L7)&gt;0,INDEX(AllItems!$J$2:$J$77,L7),"")</f>
        <v/>
      </c>
      <c r="I7" s="15">
        <f>IF(INDEX(AllItems!$J$2:$J$77,L7)&gt;0,INDEX(AllItems!$E$2:$E$77,L7),"")</f>
        <v/>
      </c>
      <c r="J7" s="15">
        <f>IF(INDEX(AllItems!$J$2:$J$77,L7)&gt;0,INDEX(AllItems!$F$2:$F$77,L7),"")</f>
        <v/>
      </c>
      <c r="K7" s="23">
        <f>LARGE(AllItems!$K$2:$K$77,A7)</f>
        <v/>
      </c>
      <c r="L7" s="23">
        <f>MATCH(K7,AllItems!$K$2:$K$77,0)</f>
        <v/>
      </c>
    </row>
    <row r="8" ht="40" customHeight="1">
      <c r="A8" s="16" t="n">
        <v>4</v>
      </c>
      <c r="B8" s="15">
        <f>IF(INDEX(AllItems!$J$2:$J$77,L8)&gt;0,INDEX(AllItems!$A$2:$A$77,L8),"")</f>
        <v/>
      </c>
      <c r="C8" s="16">
        <f>IF(INDEX(AllItems!$J$2:$J$77,L8)&gt;0,INDEX(AllItems!$B$2:$B$77,L8),"")</f>
        <v/>
      </c>
      <c r="D8" s="15">
        <f>IF(INDEX(AllItems!$J$2:$J$77,L8)&gt;0,INDEX(AllItems!$C$2:$C$77,L8),"")</f>
        <v/>
      </c>
      <c r="E8" s="15">
        <f>IF(INDEX(AllItems!$J$2:$J$77,L8)&gt;0,INDEX(AllItems!$D$2:$D$77,L8),"")</f>
        <v/>
      </c>
      <c r="F8" s="16">
        <f>IF(INDEX(AllItems!$J$2:$J$77,L8)&gt;0,INDEX(AllItems!$G$2:$G$77,L8),"")</f>
        <v/>
      </c>
      <c r="G8" s="16">
        <f>IF(INDEX(AllItems!$J$2:$J$77,L8)&gt;0,INDEX(AllItems!$L$2:$L$77,L8),"")</f>
        <v/>
      </c>
      <c r="H8" s="16">
        <f>IF(INDEX(AllItems!$J$2:$J$77,L8)&gt;0,INDEX(AllItems!$J$2:$J$77,L8),"")</f>
        <v/>
      </c>
      <c r="I8" s="15">
        <f>IF(INDEX(AllItems!$J$2:$J$77,L8)&gt;0,INDEX(AllItems!$E$2:$E$77,L8),"")</f>
        <v/>
      </c>
      <c r="J8" s="15">
        <f>IF(INDEX(AllItems!$J$2:$J$77,L8)&gt;0,INDEX(AllItems!$F$2:$F$77,L8),"")</f>
        <v/>
      </c>
      <c r="K8" s="23">
        <f>LARGE(AllItems!$K$2:$K$77,A8)</f>
        <v/>
      </c>
      <c r="L8" s="23">
        <f>MATCH(K8,AllItems!$K$2:$K$77,0)</f>
        <v/>
      </c>
    </row>
    <row r="9" ht="40" customHeight="1">
      <c r="A9" s="16" t="n">
        <v>5</v>
      </c>
      <c r="B9" s="15">
        <f>IF(INDEX(AllItems!$J$2:$J$77,L9)&gt;0,INDEX(AllItems!$A$2:$A$77,L9),"")</f>
        <v/>
      </c>
      <c r="C9" s="16">
        <f>IF(INDEX(AllItems!$J$2:$J$77,L9)&gt;0,INDEX(AllItems!$B$2:$B$77,L9),"")</f>
        <v/>
      </c>
      <c r="D9" s="15">
        <f>IF(INDEX(AllItems!$J$2:$J$77,L9)&gt;0,INDEX(AllItems!$C$2:$C$77,L9),"")</f>
        <v/>
      </c>
      <c r="E9" s="15">
        <f>IF(INDEX(AllItems!$J$2:$J$77,L9)&gt;0,INDEX(AllItems!$D$2:$D$77,L9),"")</f>
        <v/>
      </c>
      <c r="F9" s="16">
        <f>IF(INDEX(AllItems!$J$2:$J$77,L9)&gt;0,INDEX(AllItems!$G$2:$G$77,L9),"")</f>
        <v/>
      </c>
      <c r="G9" s="16">
        <f>IF(INDEX(AllItems!$J$2:$J$77,L9)&gt;0,INDEX(AllItems!$L$2:$L$77,L9),"")</f>
        <v/>
      </c>
      <c r="H9" s="16">
        <f>IF(INDEX(AllItems!$J$2:$J$77,L9)&gt;0,INDEX(AllItems!$J$2:$J$77,L9),"")</f>
        <v/>
      </c>
      <c r="I9" s="15">
        <f>IF(INDEX(AllItems!$J$2:$J$77,L9)&gt;0,INDEX(AllItems!$E$2:$E$77,L9),"")</f>
        <v/>
      </c>
      <c r="J9" s="15">
        <f>IF(INDEX(AllItems!$J$2:$J$77,L9)&gt;0,INDEX(AllItems!$F$2:$F$77,L9),"")</f>
        <v/>
      </c>
      <c r="K9" s="23">
        <f>LARGE(AllItems!$K$2:$K$77,A9)</f>
        <v/>
      </c>
      <c r="L9" s="23">
        <f>MATCH(K9,AllItems!$K$2:$K$77,0)</f>
        <v/>
      </c>
    </row>
    <row r="10" ht="40" customHeight="1">
      <c r="A10" s="16" t="n">
        <v>6</v>
      </c>
      <c r="B10" s="15">
        <f>IF(INDEX(AllItems!$J$2:$J$77,L10)&gt;0,INDEX(AllItems!$A$2:$A$77,L10),"")</f>
        <v/>
      </c>
      <c r="C10" s="16">
        <f>IF(INDEX(AllItems!$J$2:$J$77,L10)&gt;0,INDEX(AllItems!$B$2:$B$77,L10),"")</f>
        <v/>
      </c>
      <c r="D10" s="15">
        <f>IF(INDEX(AllItems!$J$2:$J$77,L10)&gt;0,INDEX(AllItems!$C$2:$C$77,L10),"")</f>
        <v/>
      </c>
      <c r="E10" s="15">
        <f>IF(INDEX(AllItems!$J$2:$J$77,L10)&gt;0,INDEX(AllItems!$D$2:$D$77,L10),"")</f>
        <v/>
      </c>
      <c r="F10" s="16">
        <f>IF(INDEX(AllItems!$J$2:$J$77,L10)&gt;0,INDEX(AllItems!$G$2:$G$77,L10),"")</f>
        <v/>
      </c>
      <c r="G10" s="16">
        <f>IF(INDEX(AllItems!$J$2:$J$77,L10)&gt;0,INDEX(AllItems!$L$2:$L$77,L10),"")</f>
        <v/>
      </c>
      <c r="H10" s="16">
        <f>IF(INDEX(AllItems!$J$2:$J$77,L10)&gt;0,INDEX(AllItems!$J$2:$J$77,L10),"")</f>
        <v/>
      </c>
      <c r="I10" s="15">
        <f>IF(INDEX(AllItems!$J$2:$J$77,L10)&gt;0,INDEX(AllItems!$E$2:$E$77,L10),"")</f>
        <v/>
      </c>
      <c r="J10" s="15">
        <f>IF(INDEX(AllItems!$J$2:$J$77,L10)&gt;0,INDEX(AllItems!$F$2:$F$77,L10),"")</f>
        <v/>
      </c>
      <c r="K10" s="23">
        <f>LARGE(AllItems!$K$2:$K$77,A10)</f>
        <v/>
      </c>
      <c r="L10" s="23">
        <f>MATCH(K10,AllItems!$K$2:$K$77,0)</f>
        <v/>
      </c>
    </row>
    <row r="11" ht="40" customHeight="1">
      <c r="A11" s="16" t="n">
        <v>7</v>
      </c>
      <c r="B11" s="15">
        <f>IF(INDEX(AllItems!$J$2:$J$77,L11)&gt;0,INDEX(AllItems!$A$2:$A$77,L11),"")</f>
        <v/>
      </c>
      <c r="C11" s="16">
        <f>IF(INDEX(AllItems!$J$2:$J$77,L11)&gt;0,INDEX(AllItems!$B$2:$B$77,L11),"")</f>
        <v/>
      </c>
      <c r="D11" s="15">
        <f>IF(INDEX(AllItems!$J$2:$J$77,L11)&gt;0,INDEX(AllItems!$C$2:$C$77,L11),"")</f>
        <v/>
      </c>
      <c r="E11" s="15">
        <f>IF(INDEX(AllItems!$J$2:$J$77,L11)&gt;0,INDEX(AllItems!$D$2:$D$77,L11),"")</f>
        <v/>
      </c>
      <c r="F11" s="16">
        <f>IF(INDEX(AllItems!$J$2:$J$77,L11)&gt;0,INDEX(AllItems!$G$2:$G$77,L11),"")</f>
        <v/>
      </c>
      <c r="G11" s="16">
        <f>IF(INDEX(AllItems!$J$2:$J$77,L11)&gt;0,INDEX(AllItems!$L$2:$L$77,L11),"")</f>
        <v/>
      </c>
      <c r="H11" s="16">
        <f>IF(INDEX(AllItems!$J$2:$J$77,L11)&gt;0,INDEX(AllItems!$J$2:$J$77,L11),"")</f>
        <v/>
      </c>
      <c r="I11" s="15">
        <f>IF(INDEX(AllItems!$J$2:$J$77,L11)&gt;0,INDEX(AllItems!$E$2:$E$77,L11),"")</f>
        <v/>
      </c>
      <c r="J11" s="15">
        <f>IF(INDEX(AllItems!$J$2:$J$77,L11)&gt;0,INDEX(AllItems!$F$2:$F$77,L11),"")</f>
        <v/>
      </c>
      <c r="K11" s="23">
        <f>LARGE(AllItems!$K$2:$K$77,A11)</f>
        <v/>
      </c>
      <c r="L11" s="23">
        <f>MATCH(K11,AllItems!$K$2:$K$77,0)</f>
        <v/>
      </c>
    </row>
    <row r="12" ht="40" customHeight="1">
      <c r="A12" s="16" t="n">
        <v>8</v>
      </c>
      <c r="B12" s="15">
        <f>IF(INDEX(AllItems!$J$2:$J$77,L12)&gt;0,INDEX(AllItems!$A$2:$A$77,L12),"")</f>
        <v/>
      </c>
      <c r="C12" s="16">
        <f>IF(INDEX(AllItems!$J$2:$J$77,L12)&gt;0,INDEX(AllItems!$B$2:$B$77,L12),"")</f>
        <v/>
      </c>
      <c r="D12" s="15">
        <f>IF(INDEX(AllItems!$J$2:$J$77,L12)&gt;0,INDEX(AllItems!$C$2:$C$77,L12),"")</f>
        <v/>
      </c>
      <c r="E12" s="15">
        <f>IF(INDEX(AllItems!$J$2:$J$77,L12)&gt;0,INDEX(AllItems!$D$2:$D$77,L12),"")</f>
        <v/>
      </c>
      <c r="F12" s="16">
        <f>IF(INDEX(AllItems!$J$2:$J$77,L12)&gt;0,INDEX(AllItems!$G$2:$G$77,L12),"")</f>
        <v/>
      </c>
      <c r="G12" s="16">
        <f>IF(INDEX(AllItems!$J$2:$J$77,L12)&gt;0,INDEX(AllItems!$L$2:$L$77,L12),"")</f>
        <v/>
      </c>
      <c r="H12" s="16">
        <f>IF(INDEX(AllItems!$J$2:$J$77,L12)&gt;0,INDEX(AllItems!$J$2:$J$77,L12),"")</f>
        <v/>
      </c>
      <c r="I12" s="15">
        <f>IF(INDEX(AllItems!$J$2:$J$77,L12)&gt;0,INDEX(AllItems!$E$2:$E$77,L12),"")</f>
        <v/>
      </c>
      <c r="J12" s="15">
        <f>IF(INDEX(AllItems!$J$2:$J$77,L12)&gt;0,INDEX(AllItems!$F$2:$F$77,L12),"")</f>
        <v/>
      </c>
      <c r="K12" s="23">
        <f>LARGE(AllItems!$K$2:$K$77,A12)</f>
        <v/>
      </c>
      <c r="L12" s="23">
        <f>MATCH(K12,AllItems!$K$2:$K$77,0)</f>
        <v/>
      </c>
    </row>
    <row r="13" ht="40" customHeight="1">
      <c r="A13" s="16" t="n">
        <v>9</v>
      </c>
      <c r="B13" s="15">
        <f>IF(INDEX(AllItems!$J$2:$J$77,L13)&gt;0,INDEX(AllItems!$A$2:$A$77,L13),"")</f>
        <v/>
      </c>
      <c r="C13" s="16">
        <f>IF(INDEX(AllItems!$J$2:$J$77,L13)&gt;0,INDEX(AllItems!$B$2:$B$77,L13),"")</f>
        <v/>
      </c>
      <c r="D13" s="15">
        <f>IF(INDEX(AllItems!$J$2:$J$77,L13)&gt;0,INDEX(AllItems!$C$2:$C$77,L13),"")</f>
        <v/>
      </c>
      <c r="E13" s="15">
        <f>IF(INDEX(AllItems!$J$2:$J$77,L13)&gt;0,INDEX(AllItems!$D$2:$D$77,L13),"")</f>
        <v/>
      </c>
      <c r="F13" s="16">
        <f>IF(INDEX(AllItems!$J$2:$J$77,L13)&gt;0,INDEX(AllItems!$G$2:$G$77,L13),"")</f>
        <v/>
      </c>
      <c r="G13" s="16">
        <f>IF(INDEX(AllItems!$J$2:$J$77,L13)&gt;0,INDEX(AllItems!$L$2:$L$77,L13),"")</f>
        <v/>
      </c>
      <c r="H13" s="16">
        <f>IF(INDEX(AllItems!$J$2:$J$77,L13)&gt;0,INDEX(AllItems!$J$2:$J$77,L13),"")</f>
        <v/>
      </c>
      <c r="I13" s="15">
        <f>IF(INDEX(AllItems!$J$2:$J$77,L13)&gt;0,INDEX(AllItems!$E$2:$E$77,L13),"")</f>
        <v/>
      </c>
      <c r="J13" s="15">
        <f>IF(INDEX(AllItems!$J$2:$J$77,L13)&gt;0,INDEX(AllItems!$F$2:$F$77,L13),"")</f>
        <v/>
      </c>
      <c r="K13" s="23">
        <f>LARGE(AllItems!$K$2:$K$77,A13)</f>
        <v/>
      </c>
      <c r="L13" s="23">
        <f>MATCH(K13,AllItems!$K$2:$K$77,0)</f>
        <v/>
      </c>
    </row>
    <row r="14" ht="40" customHeight="1">
      <c r="A14" s="16" t="n">
        <v>10</v>
      </c>
      <c r="B14" s="15">
        <f>IF(INDEX(AllItems!$J$2:$J$77,L14)&gt;0,INDEX(AllItems!$A$2:$A$77,L14),"")</f>
        <v/>
      </c>
      <c r="C14" s="16">
        <f>IF(INDEX(AllItems!$J$2:$J$77,L14)&gt;0,INDEX(AllItems!$B$2:$B$77,L14),"")</f>
        <v/>
      </c>
      <c r="D14" s="15">
        <f>IF(INDEX(AllItems!$J$2:$J$77,L14)&gt;0,INDEX(AllItems!$C$2:$C$77,L14),"")</f>
        <v/>
      </c>
      <c r="E14" s="15">
        <f>IF(INDEX(AllItems!$J$2:$J$77,L14)&gt;0,INDEX(AllItems!$D$2:$D$77,L14),"")</f>
        <v/>
      </c>
      <c r="F14" s="16">
        <f>IF(INDEX(AllItems!$J$2:$J$77,L14)&gt;0,INDEX(AllItems!$G$2:$G$77,L14),"")</f>
        <v/>
      </c>
      <c r="G14" s="16">
        <f>IF(INDEX(AllItems!$J$2:$J$77,L14)&gt;0,INDEX(AllItems!$L$2:$L$77,L14),"")</f>
        <v/>
      </c>
      <c r="H14" s="16">
        <f>IF(INDEX(AllItems!$J$2:$J$77,L14)&gt;0,INDEX(AllItems!$J$2:$J$77,L14),"")</f>
        <v/>
      </c>
      <c r="I14" s="15">
        <f>IF(INDEX(AllItems!$J$2:$J$77,L14)&gt;0,INDEX(AllItems!$E$2:$E$77,L14),"")</f>
        <v/>
      </c>
      <c r="J14" s="15">
        <f>IF(INDEX(AllItems!$J$2:$J$77,L14)&gt;0,INDEX(AllItems!$F$2:$F$77,L14),"")</f>
        <v/>
      </c>
      <c r="K14" s="23">
        <f>LARGE(AllItems!$K$2:$K$77,A14)</f>
        <v/>
      </c>
      <c r="L14" s="23">
        <f>MATCH(K14,AllItems!$K$2:$K$77,0)</f>
        <v/>
      </c>
    </row>
    <row r="15" ht="40" customHeight="1">
      <c r="A15" s="16" t="n">
        <v>11</v>
      </c>
      <c r="B15" s="15">
        <f>IF(INDEX(AllItems!$J$2:$J$77,L15)&gt;0,INDEX(AllItems!$A$2:$A$77,L15),"")</f>
        <v/>
      </c>
      <c r="C15" s="16">
        <f>IF(INDEX(AllItems!$J$2:$J$77,L15)&gt;0,INDEX(AllItems!$B$2:$B$77,L15),"")</f>
        <v/>
      </c>
      <c r="D15" s="15">
        <f>IF(INDEX(AllItems!$J$2:$J$77,L15)&gt;0,INDEX(AllItems!$C$2:$C$77,L15),"")</f>
        <v/>
      </c>
      <c r="E15" s="15">
        <f>IF(INDEX(AllItems!$J$2:$J$77,L15)&gt;0,INDEX(AllItems!$D$2:$D$77,L15),"")</f>
        <v/>
      </c>
      <c r="F15" s="16">
        <f>IF(INDEX(AllItems!$J$2:$J$77,L15)&gt;0,INDEX(AllItems!$G$2:$G$77,L15),"")</f>
        <v/>
      </c>
      <c r="G15" s="16">
        <f>IF(INDEX(AllItems!$J$2:$J$77,L15)&gt;0,INDEX(AllItems!$L$2:$L$77,L15),"")</f>
        <v/>
      </c>
      <c r="H15" s="16">
        <f>IF(INDEX(AllItems!$J$2:$J$77,L15)&gt;0,INDEX(AllItems!$J$2:$J$77,L15),"")</f>
        <v/>
      </c>
      <c r="I15" s="15">
        <f>IF(INDEX(AllItems!$J$2:$J$77,L15)&gt;0,INDEX(AllItems!$E$2:$E$77,L15),"")</f>
        <v/>
      </c>
      <c r="J15" s="15">
        <f>IF(INDEX(AllItems!$J$2:$J$77,L15)&gt;0,INDEX(AllItems!$F$2:$F$77,L15),"")</f>
        <v/>
      </c>
      <c r="K15" s="23">
        <f>LARGE(AllItems!$K$2:$K$77,A15)</f>
        <v/>
      </c>
      <c r="L15" s="23">
        <f>MATCH(K15,AllItems!$K$2:$K$77,0)</f>
        <v/>
      </c>
    </row>
    <row r="16" ht="40" customHeight="1">
      <c r="A16" s="16" t="n">
        <v>12</v>
      </c>
      <c r="B16" s="15">
        <f>IF(INDEX(AllItems!$J$2:$J$77,L16)&gt;0,INDEX(AllItems!$A$2:$A$77,L16),"")</f>
        <v/>
      </c>
      <c r="C16" s="16">
        <f>IF(INDEX(AllItems!$J$2:$J$77,L16)&gt;0,INDEX(AllItems!$B$2:$B$77,L16),"")</f>
        <v/>
      </c>
      <c r="D16" s="15">
        <f>IF(INDEX(AllItems!$J$2:$J$77,L16)&gt;0,INDEX(AllItems!$C$2:$C$77,L16),"")</f>
        <v/>
      </c>
      <c r="E16" s="15">
        <f>IF(INDEX(AllItems!$J$2:$J$77,L16)&gt;0,INDEX(AllItems!$D$2:$D$77,L16),"")</f>
        <v/>
      </c>
      <c r="F16" s="16">
        <f>IF(INDEX(AllItems!$J$2:$J$77,L16)&gt;0,INDEX(AllItems!$G$2:$G$77,L16),"")</f>
        <v/>
      </c>
      <c r="G16" s="16">
        <f>IF(INDEX(AllItems!$J$2:$J$77,L16)&gt;0,INDEX(AllItems!$L$2:$L$77,L16),"")</f>
        <v/>
      </c>
      <c r="H16" s="16">
        <f>IF(INDEX(AllItems!$J$2:$J$77,L16)&gt;0,INDEX(AllItems!$J$2:$J$77,L16),"")</f>
        <v/>
      </c>
      <c r="I16" s="15">
        <f>IF(INDEX(AllItems!$J$2:$J$77,L16)&gt;0,INDEX(AllItems!$E$2:$E$77,L16),"")</f>
        <v/>
      </c>
      <c r="J16" s="15">
        <f>IF(INDEX(AllItems!$J$2:$J$77,L16)&gt;0,INDEX(AllItems!$F$2:$F$77,L16),"")</f>
        <v/>
      </c>
      <c r="K16" s="23">
        <f>LARGE(AllItems!$K$2:$K$77,A16)</f>
        <v/>
      </c>
      <c r="L16" s="23">
        <f>MATCH(K16,AllItems!$K$2:$K$77,0)</f>
        <v/>
      </c>
    </row>
    <row r="17" ht="40" customHeight="1">
      <c r="A17" s="16" t="n">
        <v>13</v>
      </c>
      <c r="B17" s="15">
        <f>IF(INDEX(AllItems!$J$2:$J$77,L17)&gt;0,INDEX(AllItems!$A$2:$A$77,L17),"")</f>
        <v/>
      </c>
      <c r="C17" s="16">
        <f>IF(INDEX(AllItems!$J$2:$J$77,L17)&gt;0,INDEX(AllItems!$B$2:$B$77,L17),"")</f>
        <v/>
      </c>
      <c r="D17" s="15">
        <f>IF(INDEX(AllItems!$J$2:$J$77,L17)&gt;0,INDEX(AllItems!$C$2:$C$77,L17),"")</f>
        <v/>
      </c>
      <c r="E17" s="15">
        <f>IF(INDEX(AllItems!$J$2:$J$77,L17)&gt;0,INDEX(AllItems!$D$2:$D$77,L17),"")</f>
        <v/>
      </c>
      <c r="F17" s="16">
        <f>IF(INDEX(AllItems!$J$2:$J$77,L17)&gt;0,INDEX(AllItems!$G$2:$G$77,L17),"")</f>
        <v/>
      </c>
      <c r="G17" s="16">
        <f>IF(INDEX(AllItems!$J$2:$J$77,L17)&gt;0,INDEX(AllItems!$L$2:$L$77,L17),"")</f>
        <v/>
      </c>
      <c r="H17" s="16">
        <f>IF(INDEX(AllItems!$J$2:$J$77,L17)&gt;0,INDEX(AllItems!$J$2:$J$77,L17),"")</f>
        <v/>
      </c>
      <c r="I17" s="15">
        <f>IF(INDEX(AllItems!$J$2:$J$77,L17)&gt;0,INDEX(AllItems!$E$2:$E$77,L17),"")</f>
        <v/>
      </c>
      <c r="J17" s="15">
        <f>IF(INDEX(AllItems!$J$2:$J$77,L17)&gt;0,INDEX(AllItems!$F$2:$F$77,L17),"")</f>
        <v/>
      </c>
      <c r="K17" s="23">
        <f>LARGE(AllItems!$K$2:$K$77,A17)</f>
        <v/>
      </c>
      <c r="L17" s="23">
        <f>MATCH(K17,AllItems!$K$2:$K$77,0)</f>
        <v/>
      </c>
    </row>
    <row r="18" ht="40" customHeight="1">
      <c r="A18" s="16" t="n">
        <v>14</v>
      </c>
      <c r="B18" s="15">
        <f>IF(INDEX(AllItems!$J$2:$J$77,L18)&gt;0,INDEX(AllItems!$A$2:$A$77,L18),"")</f>
        <v/>
      </c>
      <c r="C18" s="16">
        <f>IF(INDEX(AllItems!$J$2:$J$77,L18)&gt;0,INDEX(AllItems!$B$2:$B$77,L18),"")</f>
        <v/>
      </c>
      <c r="D18" s="15">
        <f>IF(INDEX(AllItems!$J$2:$J$77,L18)&gt;0,INDEX(AllItems!$C$2:$C$77,L18),"")</f>
        <v/>
      </c>
      <c r="E18" s="15">
        <f>IF(INDEX(AllItems!$J$2:$J$77,L18)&gt;0,INDEX(AllItems!$D$2:$D$77,L18),"")</f>
        <v/>
      </c>
      <c r="F18" s="16">
        <f>IF(INDEX(AllItems!$J$2:$J$77,L18)&gt;0,INDEX(AllItems!$G$2:$G$77,L18),"")</f>
        <v/>
      </c>
      <c r="G18" s="16">
        <f>IF(INDEX(AllItems!$J$2:$J$77,L18)&gt;0,INDEX(AllItems!$L$2:$L$77,L18),"")</f>
        <v/>
      </c>
      <c r="H18" s="16">
        <f>IF(INDEX(AllItems!$J$2:$J$77,L18)&gt;0,INDEX(AllItems!$J$2:$J$77,L18),"")</f>
        <v/>
      </c>
      <c r="I18" s="15">
        <f>IF(INDEX(AllItems!$J$2:$J$77,L18)&gt;0,INDEX(AllItems!$E$2:$E$77,L18),"")</f>
        <v/>
      </c>
      <c r="J18" s="15">
        <f>IF(INDEX(AllItems!$J$2:$J$77,L18)&gt;0,INDEX(AllItems!$F$2:$F$77,L18),"")</f>
        <v/>
      </c>
      <c r="K18" s="23">
        <f>LARGE(AllItems!$K$2:$K$77,A18)</f>
        <v/>
      </c>
      <c r="L18" s="23">
        <f>MATCH(K18,AllItems!$K$2:$K$77,0)</f>
        <v/>
      </c>
    </row>
    <row r="19" ht="40" customHeight="1">
      <c r="A19" s="16" t="n">
        <v>15</v>
      </c>
      <c r="B19" s="15">
        <f>IF(INDEX(AllItems!$J$2:$J$77,L19)&gt;0,INDEX(AllItems!$A$2:$A$77,L19),"")</f>
        <v/>
      </c>
      <c r="C19" s="16">
        <f>IF(INDEX(AllItems!$J$2:$J$77,L19)&gt;0,INDEX(AllItems!$B$2:$B$77,L19),"")</f>
        <v/>
      </c>
      <c r="D19" s="15">
        <f>IF(INDEX(AllItems!$J$2:$J$77,L19)&gt;0,INDEX(AllItems!$C$2:$C$77,L19),"")</f>
        <v/>
      </c>
      <c r="E19" s="15">
        <f>IF(INDEX(AllItems!$J$2:$J$77,L19)&gt;0,INDEX(AllItems!$D$2:$D$77,L19),"")</f>
        <v/>
      </c>
      <c r="F19" s="16">
        <f>IF(INDEX(AllItems!$J$2:$J$77,L19)&gt;0,INDEX(AllItems!$G$2:$G$77,L19),"")</f>
        <v/>
      </c>
      <c r="G19" s="16">
        <f>IF(INDEX(AllItems!$J$2:$J$77,L19)&gt;0,INDEX(AllItems!$L$2:$L$77,L19),"")</f>
        <v/>
      </c>
      <c r="H19" s="16">
        <f>IF(INDEX(AllItems!$J$2:$J$77,L19)&gt;0,INDEX(AllItems!$J$2:$J$77,L19),"")</f>
        <v/>
      </c>
      <c r="I19" s="15">
        <f>IF(INDEX(AllItems!$J$2:$J$77,L19)&gt;0,INDEX(AllItems!$E$2:$E$77,L19),"")</f>
        <v/>
      </c>
      <c r="J19" s="15">
        <f>IF(INDEX(AllItems!$J$2:$J$77,L19)&gt;0,INDEX(AllItems!$F$2:$F$77,L19),"")</f>
        <v/>
      </c>
      <c r="K19" s="23">
        <f>LARGE(AllItems!$K$2:$K$77,A19)</f>
        <v/>
      </c>
      <c r="L19" s="23">
        <f>MATCH(K19,AllItems!$K$2:$K$77,0)</f>
        <v/>
      </c>
    </row>
    <row r="20" ht="40" customHeight="1">
      <c r="A20" s="16" t="n">
        <v>16</v>
      </c>
      <c r="B20" s="15">
        <f>IF(INDEX(AllItems!$J$2:$J$77,L20)&gt;0,INDEX(AllItems!$A$2:$A$77,L20),"")</f>
        <v/>
      </c>
      <c r="C20" s="16">
        <f>IF(INDEX(AllItems!$J$2:$J$77,L20)&gt;0,INDEX(AllItems!$B$2:$B$77,L20),"")</f>
        <v/>
      </c>
      <c r="D20" s="15">
        <f>IF(INDEX(AllItems!$J$2:$J$77,L20)&gt;0,INDEX(AllItems!$C$2:$C$77,L20),"")</f>
        <v/>
      </c>
      <c r="E20" s="15">
        <f>IF(INDEX(AllItems!$J$2:$J$77,L20)&gt;0,INDEX(AllItems!$D$2:$D$77,L20),"")</f>
        <v/>
      </c>
      <c r="F20" s="16">
        <f>IF(INDEX(AllItems!$J$2:$J$77,L20)&gt;0,INDEX(AllItems!$G$2:$G$77,L20),"")</f>
        <v/>
      </c>
      <c r="G20" s="16">
        <f>IF(INDEX(AllItems!$J$2:$J$77,L20)&gt;0,INDEX(AllItems!$L$2:$L$77,L20),"")</f>
        <v/>
      </c>
      <c r="H20" s="16">
        <f>IF(INDEX(AllItems!$J$2:$J$77,L20)&gt;0,INDEX(AllItems!$J$2:$J$77,L20),"")</f>
        <v/>
      </c>
      <c r="I20" s="15">
        <f>IF(INDEX(AllItems!$J$2:$J$77,L20)&gt;0,INDEX(AllItems!$E$2:$E$77,L20),"")</f>
        <v/>
      </c>
      <c r="J20" s="15">
        <f>IF(INDEX(AllItems!$J$2:$J$77,L20)&gt;0,INDEX(AllItems!$F$2:$F$77,L20),"")</f>
        <v/>
      </c>
      <c r="K20" s="23">
        <f>LARGE(AllItems!$K$2:$K$77,A20)</f>
        <v/>
      </c>
      <c r="L20" s="23">
        <f>MATCH(K20,AllItems!$K$2:$K$77,0)</f>
        <v/>
      </c>
    </row>
    <row r="21" ht="40" customHeight="1">
      <c r="A21" s="16" t="n">
        <v>17</v>
      </c>
      <c r="B21" s="15">
        <f>IF(INDEX(AllItems!$J$2:$J$77,L21)&gt;0,INDEX(AllItems!$A$2:$A$77,L21),"")</f>
        <v/>
      </c>
      <c r="C21" s="16">
        <f>IF(INDEX(AllItems!$J$2:$J$77,L21)&gt;0,INDEX(AllItems!$B$2:$B$77,L21),"")</f>
        <v/>
      </c>
      <c r="D21" s="15">
        <f>IF(INDEX(AllItems!$J$2:$J$77,L21)&gt;0,INDEX(AllItems!$C$2:$C$77,L21),"")</f>
        <v/>
      </c>
      <c r="E21" s="15">
        <f>IF(INDEX(AllItems!$J$2:$J$77,L21)&gt;0,INDEX(AllItems!$D$2:$D$77,L21),"")</f>
        <v/>
      </c>
      <c r="F21" s="16">
        <f>IF(INDEX(AllItems!$J$2:$J$77,L21)&gt;0,INDEX(AllItems!$G$2:$G$77,L21),"")</f>
        <v/>
      </c>
      <c r="G21" s="16">
        <f>IF(INDEX(AllItems!$J$2:$J$77,L21)&gt;0,INDEX(AllItems!$L$2:$L$77,L21),"")</f>
        <v/>
      </c>
      <c r="H21" s="16">
        <f>IF(INDEX(AllItems!$J$2:$J$77,L21)&gt;0,INDEX(AllItems!$J$2:$J$77,L21),"")</f>
        <v/>
      </c>
      <c r="I21" s="15">
        <f>IF(INDEX(AllItems!$J$2:$J$77,L21)&gt;0,INDEX(AllItems!$E$2:$E$77,L21),"")</f>
        <v/>
      </c>
      <c r="J21" s="15">
        <f>IF(INDEX(AllItems!$J$2:$J$77,L21)&gt;0,INDEX(AllItems!$F$2:$F$77,L21),"")</f>
        <v/>
      </c>
      <c r="K21" s="23">
        <f>LARGE(AllItems!$K$2:$K$77,A21)</f>
        <v/>
      </c>
      <c r="L21" s="23">
        <f>MATCH(K21,AllItems!$K$2:$K$77,0)</f>
        <v/>
      </c>
    </row>
    <row r="22" ht="40" customHeight="1">
      <c r="A22" s="16" t="n">
        <v>18</v>
      </c>
      <c r="B22" s="15">
        <f>IF(INDEX(AllItems!$J$2:$J$77,L22)&gt;0,INDEX(AllItems!$A$2:$A$77,L22),"")</f>
        <v/>
      </c>
      <c r="C22" s="16">
        <f>IF(INDEX(AllItems!$J$2:$J$77,L22)&gt;0,INDEX(AllItems!$B$2:$B$77,L22),"")</f>
        <v/>
      </c>
      <c r="D22" s="15">
        <f>IF(INDEX(AllItems!$J$2:$J$77,L22)&gt;0,INDEX(AllItems!$C$2:$C$77,L22),"")</f>
        <v/>
      </c>
      <c r="E22" s="15">
        <f>IF(INDEX(AllItems!$J$2:$J$77,L22)&gt;0,INDEX(AllItems!$D$2:$D$77,L22),"")</f>
        <v/>
      </c>
      <c r="F22" s="16">
        <f>IF(INDEX(AllItems!$J$2:$J$77,L22)&gt;0,INDEX(AllItems!$G$2:$G$77,L22),"")</f>
        <v/>
      </c>
      <c r="G22" s="16">
        <f>IF(INDEX(AllItems!$J$2:$J$77,L22)&gt;0,INDEX(AllItems!$L$2:$L$77,L22),"")</f>
        <v/>
      </c>
      <c r="H22" s="16">
        <f>IF(INDEX(AllItems!$J$2:$J$77,L22)&gt;0,INDEX(AllItems!$J$2:$J$77,L22),"")</f>
        <v/>
      </c>
      <c r="I22" s="15">
        <f>IF(INDEX(AllItems!$J$2:$J$77,L22)&gt;0,INDEX(AllItems!$E$2:$E$77,L22),"")</f>
        <v/>
      </c>
      <c r="J22" s="15">
        <f>IF(INDEX(AllItems!$J$2:$J$77,L22)&gt;0,INDEX(AllItems!$F$2:$F$77,L22),"")</f>
        <v/>
      </c>
      <c r="K22" s="23">
        <f>LARGE(AllItems!$K$2:$K$77,A22)</f>
        <v/>
      </c>
      <c r="L22" s="23">
        <f>MATCH(K22,AllItems!$K$2:$K$77,0)</f>
        <v/>
      </c>
    </row>
    <row r="23" ht="40" customHeight="1">
      <c r="A23" s="16" t="n">
        <v>19</v>
      </c>
      <c r="B23" s="15">
        <f>IF(INDEX(AllItems!$J$2:$J$77,L23)&gt;0,INDEX(AllItems!$A$2:$A$77,L23),"")</f>
        <v/>
      </c>
      <c r="C23" s="16">
        <f>IF(INDEX(AllItems!$J$2:$J$77,L23)&gt;0,INDEX(AllItems!$B$2:$B$77,L23),"")</f>
        <v/>
      </c>
      <c r="D23" s="15">
        <f>IF(INDEX(AllItems!$J$2:$J$77,L23)&gt;0,INDEX(AllItems!$C$2:$C$77,L23),"")</f>
        <v/>
      </c>
      <c r="E23" s="15">
        <f>IF(INDEX(AllItems!$J$2:$J$77,L23)&gt;0,INDEX(AllItems!$D$2:$D$77,L23),"")</f>
        <v/>
      </c>
      <c r="F23" s="16">
        <f>IF(INDEX(AllItems!$J$2:$J$77,L23)&gt;0,INDEX(AllItems!$G$2:$G$77,L23),"")</f>
        <v/>
      </c>
      <c r="G23" s="16">
        <f>IF(INDEX(AllItems!$J$2:$J$77,L23)&gt;0,INDEX(AllItems!$L$2:$L$77,L23),"")</f>
        <v/>
      </c>
      <c r="H23" s="16">
        <f>IF(INDEX(AllItems!$J$2:$J$77,L23)&gt;0,INDEX(AllItems!$J$2:$J$77,L23),"")</f>
        <v/>
      </c>
      <c r="I23" s="15">
        <f>IF(INDEX(AllItems!$J$2:$J$77,L23)&gt;0,INDEX(AllItems!$E$2:$E$77,L23),"")</f>
        <v/>
      </c>
      <c r="J23" s="15">
        <f>IF(INDEX(AllItems!$J$2:$J$77,L23)&gt;0,INDEX(AllItems!$F$2:$F$77,L23),"")</f>
        <v/>
      </c>
      <c r="K23" s="23">
        <f>LARGE(AllItems!$K$2:$K$77,A23)</f>
        <v/>
      </c>
      <c r="L23" s="23">
        <f>MATCH(K23,AllItems!$K$2:$K$77,0)</f>
        <v/>
      </c>
    </row>
    <row r="24" ht="40" customHeight="1">
      <c r="A24" s="16" t="n">
        <v>20</v>
      </c>
      <c r="B24" s="15">
        <f>IF(INDEX(AllItems!$J$2:$J$77,L24)&gt;0,INDEX(AllItems!$A$2:$A$77,L24),"")</f>
        <v/>
      </c>
      <c r="C24" s="16">
        <f>IF(INDEX(AllItems!$J$2:$J$77,L24)&gt;0,INDEX(AllItems!$B$2:$B$77,L24),"")</f>
        <v/>
      </c>
      <c r="D24" s="15">
        <f>IF(INDEX(AllItems!$J$2:$J$77,L24)&gt;0,INDEX(AllItems!$C$2:$C$77,L24),"")</f>
        <v/>
      </c>
      <c r="E24" s="15">
        <f>IF(INDEX(AllItems!$J$2:$J$77,L24)&gt;0,INDEX(AllItems!$D$2:$D$77,L24),"")</f>
        <v/>
      </c>
      <c r="F24" s="16">
        <f>IF(INDEX(AllItems!$J$2:$J$77,L24)&gt;0,INDEX(AllItems!$G$2:$G$77,L24),"")</f>
        <v/>
      </c>
      <c r="G24" s="16">
        <f>IF(INDEX(AllItems!$J$2:$J$77,L24)&gt;0,INDEX(AllItems!$L$2:$L$77,L24),"")</f>
        <v/>
      </c>
      <c r="H24" s="16">
        <f>IF(INDEX(AllItems!$J$2:$J$77,L24)&gt;0,INDEX(AllItems!$J$2:$J$77,L24),"")</f>
        <v/>
      </c>
      <c r="I24" s="15">
        <f>IF(INDEX(AllItems!$J$2:$J$77,L24)&gt;0,INDEX(AllItems!$E$2:$E$77,L24),"")</f>
        <v/>
      </c>
      <c r="J24" s="15">
        <f>IF(INDEX(AllItems!$J$2:$J$77,L24)&gt;0,INDEX(AllItems!$F$2:$F$77,L24),"")</f>
        <v/>
      </c>
      <c r="K24" s="23">
        <f>LARGE(AllItems!$K$2:$K$77,A24)</f>
        <v/>
      </c>
      <c r="L24" s="23">
        <f>MATCH(K24,AllItems!$K$2:$K$77,0)</f>
        <v/>
      </c>
    </row>
    <row r="26">
      <c r="A26" s="2" t="inlineStr">
        <is>
          <t>Copy final priorities into templates/remediation-roadmap.md and assign an owner and target date to each.</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6"/>
  <sheetViews>
    <sheetView showGridLines="0" workbookViewId="0">
      <selection activeCell="A1" sqref="A1"/>
    </sheetView>
  </sheetViews>
  <sheetFormatPr baseColWidth="8" defaultRowHeight="15"/>
  <cols>
    <col width="12" customWidth="1" min="1" max="1"/>
    <col width="52" customWidth="1" min="2" max="2"/>
    <col width="34" customWidth="1" min="3" max="3"/>
    <col width="14" customWidth="1" min="4" max="4"/>
    <col width="26" customWidth="1" min="5" max="5"/>
    <col hidden="1" width="10" customWidth="1" min="6" max="6"/>
  </cols>
  <sheetData>
    <row r="1">
      <c r="A1" s="1" t="inlineStr">
        <is>
          <t>HHS Cybersecurity Performance Goals — Crosswalk</t>
        </is>
      </c>
    </row>
    <row r="2">
      <c r="A2" s="2" t="inlineStr">
        <is>
          <t>Average score of the questions mapped to each goal. Meets = average of 3 or more.</t>
        </is>
      </c>
    </row>
    <row r="4">
      <c r="A4" s="6" t="inlineStr">
        <is>
          <t>Goal type</t>
        </is>
      </c>
      <c r="B4" s="6" t="inlineStr">
        <is>
          <t>Goal</t>
        </is>
      </c>
      <c r="C4" s="6" t="inlineStr">
        <is>
          <t>Related questions</t>
        </is>
      </c>
      <c r="D4" s="6" t="inlineStr">
        <is>
          <t>Average score</t>
        </is>
      </c>
      <c r="E4" s="6" t="inlineStr">
        <is>
          <t>Status</t>
        </is>
      </c>
      <c r="F4" s="6" t="inlineStr">
        <is>
          <t>Tag</t>
        </is>
      </c>
    </row>
    <row r="5" ht="28" customHeight="1">
      <c r="A5" s="15" t="inlineStr">
        <is>
          <t>Essential</t>
        </is>
      </c>
      <c r="B5" s="15" t="inlineStr">
        <is>
          <t>Mitigate Known Vulnerabilities</t>
        </is>
      </c>
      <c r="C5" s="15" t="inlineStr">
        <is>
          <t>LO-15, AM-05, ZT-06</t>
        </is>
      </c>
      <c r="D5" s="24">
        <f>IFERROR(AVERAGEIFS(AllItems!$G$2:$G$77,AllItems!$F$2:$F$77,"*"&amp;F5&amp;"*"),"")</f>
        <v/>
      </c>
      <c r="E5" s="15">
        <f>IF(D5="","Not assessed",IF(D5&gt;=3,"Meets (Defined or above)",IF(D5&gt;=2,"Partially meets","Gap")))</f>
        <v/>
      </c>
      <c r="F5" s="25" t="inlineStr">
        <is>
          <t>CPG-E: Mitigate Known Vulnerabilities</t>
        </is>
      </c>
    </row>
    <row r="6" ht="28" customHeight="1">
      <c r="A6" s="15" t="inlineStr">
        <is>
          <t>Essential</t>
        </is>
      </c>
      <c r="B6" s="15" t="inlineStr">
        <is>
          <t>Email Security</t>
        </is>
      </c>
      <c r="C6" s="15" t="inlineStr">
        <is>
          <t>LO-13, LO-16, ZT-12</t>
        </is>
      </c>
      <c r="D6" s="24">
        <f>IFERROR(AVERAGEIFS(AllItems!$G$2:$G$77,AllItems!$F$2:$F$77,"*"&amp;F6&amp;"*"),"")</f>
        <v/>
      </c>
      <c r="E6" s="15">
        <f>IF(D6="","Not assessed",IF(D6&gt;=3,"Meets (Defined or above)",IF(D6&gt;=2,"Partially meets","Gap")))</f>
        <v/>
      </c>
      <c r="F6" s="25" t="inlineStr">
        <is>
          <t>CPG-E: Email Security</t>
        </is>
      </c>
    </row>
    <row r="7" ht="28" customHeight="1">
      <c r="A7" s="15" t="inlineStr">
        <is>
          <t>Essential</t>
        </is>
      </c>
      <c r="B7" s="15" t="inlineStr">
        <is>
          <t>Multifactor Authentication</t>
        </is>
      </c>
      <c r="C7" s="15" t="inlineStr">
        <is>
          <t>LO-13, LO-14, ZT-01</t>
        </is>
      </c>
      <c r="D7" s="24">
        <f>IFERROR(AVERAGEIFS(AllItems!$G$2:$G$77,AllItems!$F$2:$F$77,"*"&amp;F7&amp;"*"),"")</f>
        <v/>
      </c>
      <c r="E7" s="15">
        <f>IF(D7="","Not assessed",IF(D7&gt;=3,"Meets (Defined or above)",IF(D7&gt;=2,"Partially meets","Gap")))</f>
        <v/>
      </c>
      <c r="F7" s="25" t="inlineStr">
        <is>
          <t>CPG-E: Multifactor Authentication</t>
        </is>
      </c>
    </row>
    <row r="8" ht="28" customHeight="1">
      <c r="A8" s="15" t="inlineStr">
        <is>
          <t>Essential</t>
        </is>
      </c>
      <c r="B8" s="15" t="inlineStr">
        <is>
          <t>Basic Cybersecurity Training</t>
        </is>
      </c>
      <c r="C8" s="15" t="inlineStr">
        <is>
          <t>ZT-25</t>
        </is>
      </c>
      <c r="D8" s="24">
        <f>IFERROR(AVERAGEIFS(AllItems!$G$2:$G$77,AllItems!$F$2:$F$77,"*"&amp;F8&amp;"*"),"")</f>
        <v/>
      </c>
      <c r="E8" s="15">
        <f>IF(D8="","Not assessed",IF(D8&gt;=3,"Meets (Defined or above)",IF(D8&gt;=2,"Partially meets","Gap")))</f>
        <v/>
      </c>
      <c r="F8" s="25" t="inlineStr">
        <is>
          <t>CPG-E: Basic Cybersecurity Training</t>
        </is>
      </c>
    </row>
    <row r="9" ht="28" customHeight="1">
      <c r="A9" s="15" t="inlineStr">
        <is>
          <t>Essential</t>
        </is>
      </c>
      <c r="B9" s="15" t="inlineStr">
        <is>
          <t>Strong Encryption</t>
        </is>
      </c>
      <c r="C9" s="15" t="inlineStr">
        <is>
          <t>LO-13, LO-16, ZT-11, ZT-16</t>
        </is>
      </c>
      <c r="D9" s="24">
        <f>IFERROR(AVERAGEIFS(AllItems!$G$2:$G$77,AllItems!$F$2:$F$77,"*"&amp;F9&amp;"*"),"")</f>
        <v/>
      </c>
      <c r="E9" s="15">
        <f>IF(D9="","Not assessed",IF(D9&gt;=3,"Meets (Defined or above)",IF(D9&gt;=2,"Partially meets","Gap")))</f>
        <v/>
      </c>
      <c r="F9" s="25" t="inlineStr">
        <is>
          <t>CPG-E: Strong Encryption</t>
        </is>
      </c>
    </row>
    <row r="10" ht="28" customHeight="1">
      <c r="A10" s="15" t="inlineStr">
        <is>
          <t>Essential</t>
        </is>
      </c>
      <c r="B10" s="15" t="inlineStr">
        <is>
          <t>Revoke Credentials for Departing Workforce Members</t>
        </is>
      </c>
      <c r="C10" s="15" t="inlineStr">
        <is>
          <t>LO-11, ZT-04</t>
        </is>
      </c>
      <c r="D10" s="24">
        <f>IFERROR(AVERAGEIFS(AllItems!$G$2:$G$77,AllItems!$F$2:$F$77,"*"&amp;F10&amp;"*"),"")</f>
        <v/>
      </c>
      <c r="E10" s="15">
        <f>IF(D10="","Not assessed",IF(D10&gt;=3,"Meets (Defined or above)",IF(D10&gt;=2,"Partially meets","Gap")))</f>
        <v/>
      </c>
      <c r="F10" s="25" t="inlineStr">
        <is>
          <t>CPG-E: Revoke Credentials for Departing Workforce Members</t>
        </is>
      </c>
    </row>
    <row r="11" ht="28" customHeight="1">
      <c r="A11" s="15" t="inlineStr">
        <is>
          <t>Essential</t>
        </is>
      </c>
      <c r="B11" s="15" t="inlineStr">
        <is>
          <t>Basic Incident Planning and Preparedness</t>
        </is>
      </c>
      <c r="C11" s="15" t="inlineStr">
        <is>
          <t>ZT-24</t>
        </is>
      </c>
      <c r="D11" s="24">
        <f>IFERROR(AVERAGEIFS(AllItems!$G$2:$G$77,AllItems!$F$2:$F$77,"*"&amp;F11&amp;"*"),"")</f>
        <v/>
      </c>
      <c r="E11" s="15">
        <f>IF(D11="","Not assessed",IF(D11&gt;=3,"Meets (Defined or above)",IF(D11&gt;=2,"Partially meets","Gap")))</f>
        <v/>
      </c>
      <c r="F11" s="25" t="inlineStr">
        <is>
          <t>CPG-E: Basic Incident Planning and Preparedness</t>
        </is>
      </c>
    </row>
    <row r="12" ht="28" customHeight="1">
      <c r="A12" s="15" t="inlineStr">
        <is>
          <t>Essential</t>
        </is>
      </c>
      <c r="B12" s="15" t="inlineStr">
        <is>
          <t>Unique Credentials</t>
        </is>
      </c>
      <c r="C12" s="15" t="inlineStr">
        <is>
          <t>ZT-02</t>
        </is>
      </c>
      <c r="D12" s="24">
        <f>IFERROR(AVERAGEIFS(AllItems!$G$2:$G$77,AllItems!$F$2:$F$77,"*"&amp;F12&amp;"*"),"")</f>
        <v/>
      </c>
      <c r="E12" s="15">
        <f>IF(D12="","Not assessed",IF(D12&gt;=3,"Meets (Defined or above)",IF(D12&gt;=2,"Partially meets","Gap")))</f>
        <v/>
      </c>
      <c r="F12" s="25" t="inlineStr">
        <is>
          <t>CPG-E: Unique Credentials</t>
        </is>
      </c>
    </row>
    <row r="13" ht="28" customHeight="1">
      <c r="A13" s="15" t="inlineStr">
        <is>
          <t>Essential</t>
        </is>
      </c>
      <c r="B13" s="15" t="inlineStr">
        <is>
          <t>Separate User and Privileged Accounts</t>
        </is>
      </c>
      <c r="C13" s="15" t="inlineStr">
        <is>
          <t>ZT-03</t>
        </is>
      </c>
      <c r="D13" s="24">
        <f>IFERROR(AVERAGEIFS(AllItems!$G$2:$G$77,AllItems!$F$2:$F$77,"*"&amp;F13&amp;"*"),"")</f>
        <v/>
      </c>
      <c r="E13" s="15">
        <f>IF(D13="","Not assessed",IF(D13&gt;=3,"Meets (Defined or above)",IF(D13&gt;=2,"Partially meets","Gap")))</f>
        <v/>
      </c>
      <c r="F13" s="25" t="inlineStr">
        <is>
          <t>CPG-E: Separate User and Privileged Accounts</t>
        </is>
      </c>
    </row>
    <row r="14" ht="28" customHeight="1">
      <c r="A14" s="15" t="inlineStr">
        <is>
          <t>Essential</t>
        </is>
      </c>
      <c r="B14" s="15" t="inlineStr">
        <is>
          <t>Vendor/Supplier Cybersecurity Requirements</t>
        </is>
      </c>
      <c r="C14" s="15" t="inlineStr">
        <is>
          <t>LO-08, AM-22, ZT-10, ZT-26</t>
        </is>
      </c>
      <c r="D14" s="24">
        <f>IFERROR(AVERAGEIFS(AllItems!$G$2:$G$77,AllItems!$F$2:$F$77,"*"&amp;F14&amp;"*"),"")</f>
        <v/>
      </c>
      <c r="E14" s="15">
        <f>IF(D14="","Not assessed",IF(D14&gt;=3,"Meets (Defined or above)",IF(D14&gt;=2,"Partially meets","Gap")))</f>
        <v/>
      </c>
      <c r="F14" s="25" t="inlineStr">
        <is>
          <t>CPG-E: Vendor/Supplier Cybersecurity Requirements</t>
        </is>
      </c>
    </row>
    <row r="15" ht="28" customHeight="1">
      <c r="A15" s="15" t="inlineStr">
        <is>
          <t>Enhanced</t>
        </is>
      </c>
      <c r="B15" s="15" t="inlineStr">
        <is>
          <t>Asset Inventory</t>
        </is>
      </c>
      <c r="C15" s="15" t="inlineStr">
        <is>
          <t>LO-09, AM-01, ZT-05</t>
        </is>
      </c>
      <c r="D15" s="24">
        <f>IFERROR(AVERAGEIFS(AllItems!$G$2:$G$77,AllItems!$F$2:$F$77,"*"&amp;F15&amp;"*"),"")</f>
        <v/>
      </c>
      <c r="E15" s="15">
        <f>IF(D15="","Not assessed",IF(D15&gt;=3,"Meets (Defined or above)",IF(D15&gt;=2,"Partially meets","Gap")))</f>
        <v/>
      </c>
      <c r="F15" s="25" t="inlineStr">
        <is>
          <t>CPG-X: Asset Inventory</t>
        </is>
      </c>
    </row>
    <row r="16" ht="28" customHeight="1">
      <c r="A16" s="15" t="inlineStr">
        <is>
          <t>Enhanced</t>
        </is>
      </c>
      <c r="B16" s="15" t="inlineStr">
        <is>
          <t>Third Party Vulnerability Disclosure</t>
        </is>
      </c>
      <c r="C16" s="15" t="inlineStr">
        <is>
          <t>ZT-15</t>
        </is>
      </c>
      <c r="D16" s="24">
        <f>IFERROR(AVERAGEIFS(AllItems!$G$2:$G$77,AllItems!$F$2:$F$77,"*"&amp;F16&amp;"*"),"")</f>
        <v/>
      </c>
      <c r="E16" s="15">
        <f>IF(D16="","Not assessed",IF(D16&gt;=3,"Meets (Defined or above)",IF(D16&gt;=2,"Partially meets","Gap")))</f>
        <v/>
      </c>
      <c r="F16" s="25" t="inlineStr">
        <is>
          <t>CPG-X: Third Party Vulnerability Disclosure</t>
        </is>
      </c>
    </row>
    <row r="17" ht="28" customHeight="1">
      <c r="A17" s="15" t="inlineStr">
        <is>
          <t>Enhanced</t>
        </is>
      </c>
      <c r="B17" s="15" t="inlineStr">
        <is>
          <t>Third Party Incident Reporting</t>
        </is>
      </c>
      <c r="C17" s="15" t="inlineStr">
        <is>
          <t>ZT-15</t>
        </is>
      </c>
      <c r="D17" s="24">
        <f>IFERROR(AVERAGEIFS(AllItems!$G$2:$G$77,AllItems!$F$2:$F$77,"*"&amp;F17&amp;"*"),"")</f>
        <v/>
      </c>
      <c r="E17" s="15">
        <f>IF(D17="","Not assessed",IF(D17&gt;=3,"Meets (Defined or above)",IF(D17&gt;=2,"Partially meets","Gap")))</f>
        <v/>
      </c>
      <c r="F17" s="25" t="inlineStr">
        <is>
          <t>CPG-X: Third Party Incident Reporting</t>
        </is>
      </c>
    </row>
    <row r="18" ht="28" customHeight="1">
      <c r="A18" s="15" t="inlineStr">
        <is>
          <t>Enhanced</t>
        </is>
      </c>
      <c r="B18" s="15" t="inlineStr">
        <is>
          <t>Cybersecurity Testing</t>
        </is>
      </c>
      <c r="C18" s="15" t="inlineStr">
        <is>
          <t>ZT-14</t>
        </is>
      </c>
      <c r="D18" s="24">
        <f>IFERROR(AVERAGEIFS(AllItems!$G$2:$G$77,AllItems!$F$2:$F$77,"*"&amp;F18&amp;"*"),"")</f>
        <v/>
      </c>
      <c r="E18" s="15">
        <f>IF(D18="","Not assessed",IF(D18&gt;=3,"Meets (Defined or above)",IF(D18&gt;=2,"Partially meets","Gap")))</f>
        <v/>
      </c>
      <c r="F18" s="25" t="inlineStr">
        <is>
          <t>CPG-X: Cybersecurity Testing</t>
        </is>
      </c>
    </row>
    <row r="19" ht="28" customHeight="1">
      <c r="A19" s="15" t="inlineStr">
        <is>
          <t>Enhanced</t>
        </is>
      </c>
      <c r="B19" s="15" t="inlineStr">
        <is>
          <t>Cybersecurity Mitigation</t>
        </is>
      </c>
      <c r="C19" s="15" t="inlineStr">
        <is>
          <t>AM-06, ZT-27</t>
        </is>
      </c>
      <c r="D19" s="24">
        <f>IFERROR(AVERAGEIFS(AllItems!$G$2:$G$77,AllItems!$F$2:$F$77,"*"&amp;F19&amp;"*"),"")</f>
        <v/>
      </c>
      <c r="E19" s="15">
        <f>IF(D19="","Not assessed",IF(D19&gt;=3,"Meets (Defined or above)",IF(D19&gt;=2,"Partially meets","Gap")))</f>
        <v/>
      </c>
      <c r="F19" s="25" t="inlineStr">
        <is>
          <t>CPG-X: Cybersecurity Mitigation</t>
        </is>
      </c>
    </row>
    <row r="20" ht="28" customHeight="1">
      <c r="A20" s="15" t="inlineStr">
        <is>
          <t>Enhanced</t>
        </is>
      </c>
      <c r="B20" s="15" t="inlineStr">
        <is>
          <t>Detect and Respond to Relevant Threats and TTPs</t>
        </is>
      </c>
      <c r="C20" s="15" t="inlineStr">
        <is>
          <t>ZT-21</t>
        </is>
      </c>
      <c r="D20" s="24">
        <f>IFERROR(AVERAGEIFS(AllItems!$G$2:$G$77,AllItems!$F$2:$F$77,"*"&amp;F20&amp;"*"),"")</f>
        <v/>
      </c>
      <c r="E20" s="15">
        <f>IF(D20="","Not assessed",IF(D20&gt;=3,"Meets (Defined or above)",IF(D20&gt;=2,"Partially meets","Gap")))</f>
        <v/>
      </c>
      <c r="F20" s="25" t="inlineStr">
        <is>
          <t>CPG-X: Detect and Respond to Relevant Threats and TTPs</t>
        </is>
      </c>
    </row>
    <row r="21" ht="28" customHeight="1">
      <c r="A21" s="15" t="inlineStr">
        <is>
          <t>Enhanced</t>
        </is>
      </c>
      <c r="B21" s="15" t="inlineStr">
        <is>
          <t>Network Segmentation</t>
        </is>
      </c>
      <c r="C21" s="15" t="inlineStr">
        <is>
          <t>AM-08, ZT-09</t>
        </is>
      </c>
      <c r="D21" s="24">
        <f>IFERROR(AVERAGEIFS(AllItems!$G$2:$G$77,AllItems!$F$2:$F$77,"*"&amp;F21&amp;"*"),"")</f>
        <v/>
      </c>
      <c r="E21" s="15">
        <f>IF(D21="","Not assessed",IF(D21&gt;=3,"Meets (Defined or above)",IF(D21&gt;=2,"Partially meets","Gap")))</f>
        <v/>
      </c>
      <c r="F21" s="25" t="inlineStr">
        <is>
          <t>CPG-X: Network Segmentation</t>
        </is>
      </c>
    </row>
    <row r="22" ht="28" customHeight="1">
      <c r="A22" s="15" t="inlineStr">
        <is>
          <t>Enhanced</t>
        </is>
      </c>
      <c r="B22" s="15" t="inlineStr">
        <is>
          <t>Centralized Log Collection</t>
        </is>
      </c>
      <c r="C22" s="15" t="inlineStr">
        <is>
          <t>ZT-20</t>
        </is>
      </c>
      <c r="D22" s="24">
        <f>IFERROR(AVERAGEIFS(AllItems!$G$2:$G$77,AllItems!$F$2:$F$77,"*"&amp;F22&amp;"*"),"")</f>
        <v/>
      </c>
      <c r="E22" s="15">
        <f>IF(D22="","Not assessed",IF(D22&gt;=3,"Meets (Defined or above)",IF(D22&gt;=2,"Partially meets","Gap")))</f>
        <v/>
      </c>
      <c r="F22" s="25" t="inlineStr">
        <is>
          <t>CPG-X: Centralized Log Collection</t>
        </is>
      </c>
    </row>
    <row r="23" ht="28" customHeight="1">
      <c r="A23" s="15" t="inlineStr">
        <is>
          <t>Enhanced</t>
        </is>
      </c>
      <c r="B23" s="15" t="inlineStr">
        <is>
          <t>Centralized Incident Planning and Preparedness</t>
        </is>
      </c>
      <c r="C23" s="15" t="inlineStr">
        <is>
          <t>ZT-24</t>
        </is>
      </c>
      <c r="D23" s="24">
        <f>IFERROR(AVERAGEIFS(AllItems!$G$2:$G$77,AllItems!$F$2:$F$77,"*"&amp;F23&amp;"*"),"")</f>
        <v/>
      </c>
      <c r="E23" s="15">
        <f>IF(D23="","Not assessed",IF(D23&gt;=3,"Meets (Defined or above)",IF(D23&gt;=2,"Partially meets","Gap")))</f>
        <v/>
      </c>
      <c r="F23" s="25" t="inlineStr">
        <is>
          <t>CPG-X: Centralized Incident Planning and Preparedness</t>
        </is>
      </c>
    </row>
    <row r="24" ht="28" customHeight="1">
      <c r="A24" s="15" t="inlineStr">
        <is>
          <t>Enhanced</t>
        </is>
      </c>
      <c r="B24" s="15" t="inlineStr">
        <is>
          <t>Configuration Management</t>
        </is>
      </c>
      <c r="C24" s="15" t="inlineStr">
        <is>
          <t>LO-15, AM-13, ZT-08</t>
        </is>
      </c>
      <c r="D24" s="24">
        <f>IFERROR(AVERAGEIFS(AllItems!$G$2:$G$77,AllItems!$F$2:$F$77,"*"&amp;F24&amp;"*"),"")</f>
        <v/>
      </c>
      <c r="E24" s="15">
        <f>IF(D24="","Not assessed",IF(D24&gt;=3,"Meets (Defined or above)",IF(D24&gt;=2,"Partially meets","Gap")))</f>
        <v/>
      </c>
      <c r="F24" s="25" t="inlineStr">
        <is>
          <t>CPG-X: Configuration Management</t>
        </is>
      </c>
    </row>
    <row r="26">
      <c r="A26" s="26" t="inlineStr">
        <is>
          <t>Source: U.S. Department of Health and Human Services, Healthcare and Public Health Sector Cybersecurity Performance Goals, https://hhscyber.hhs.gov/cybersecurity-performance-goals.html</t>
        </is>
      </c>
    </row>
  </sheetData>
  <conditionalFormatting sqref="E5:E24">
    <cfRule type="expression" priority="1" dxfId="2">
      <formula>LEFT(E5,5)="Meets"</formula>
    </cfRule>
    <cfRule type="expression" priority="2" dxfId="1">
      <formula>LEFT(E5,9)="Partially"</formula>
    </cfRule>
    <cfRule type="expression" priority="3" dxfId="0">
      <formula>E5="Gap"</formula>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S5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16" customWidth="1" min="3" max="3"/>
    <col width="13" customWidth="1" min="4" max="4"/>
    <col width="16" customWidth="1" min="5" max="5"/>
    <col width="12" customWidth="1" min="6" max="6"/>
    <col width="14" customWidth="1" min="7" max="7"/>
    <col width="10" customWidth="1" min="8" max="8"/>
    <col width="12" customWidth="1" min="9" max="9"/>
    <col width="11" customWidth="1" min="10" max="10"/>
    <col width="11" customWidth="1" min="11" max="11"/>
    <col width="13" customWidth="1" min="12" max="12"/>
    <col width="11" customWidth="1" min="13" max="13"/>
    <col width="10" customWidth="1" min="14" max="14"/>
    <col width="30" customWidth="1" min="15" max="15"/>
    <col width="13" customWidth="1" min="16" max="16"/>
    <col width="16" customWidth="1" min="17" max="17"/>
    <col width="12" customWidth="1" min="18" max="18"/>
    <col width="24" customWidth="1" min="19" max="19"/>
  </cols>
  <sheetData>
    <row r="1">
      <c r="A1" s="1" t="inlineStr">
        <is>
          <t>App Portfolio Triage</t>
        </is>
      </c>
    </row>
    <row r="2">
      <c r="A2" s="2" t="inlineStr">
        <is>
          <t>One row per application. Yellow = input. Technical risk, priority and suggested disposition are calculated.</t>
        </is>
      </c>
    </row>
    <row r="3">
      <c r="A3" s="26" t="inlineStr">
        <is>
          <t>Technical risk (0–8): unsupported platform 3 (unknown 2) + open critical vulnerabilities 3 (unknown 2) + PHI 1 + more than 5 integrations 1. Priority = technical risk × criticality. The suggested disposition is a starting point; owners make the final decision.</t>
        </is>
      </c>
    </row>
    <row r="5">
      <c r="A5" s="6" t="inlineStr">
        <is>
          <t>Application</t>
        </is>
      </c>
      <c r="B5" s="6" t="inlineStr">
        <is>
          <t>Business function</t>
        </is>
      </c>
      <c r="C5" s="6" t="inlineStr">
        <is>
          <t>Vendor</t>
        </is>
      </c>
      <c r="D5" s="6" t="inlineStr">
        <is>
          <t>Hosting</t>
        </is>
      </c>
      <c r="E5" s="6" t="inlineStr">
        <is>
          <t>Platform / OS</t>
        </is>
      </c>
      <c r="F5" s="6" t="inlineStr">
        <is>
          <t>Platform supported?</t>
        </is>
      </c>
      <c r="G5" s="6" t="inlineStr">
        <is>
          <t>Open critical vulnerabilities?</t>
        </is>
      </c>
      <c r="H5" s="6" t="inlineStr">
        <is>
          <t>Handles PHI?</t>
        </is>
      </c>
      <c r="I5" s="6" t="inlineStr">
        <is>
          <t>Integrations (count)</t>
        </is>
      </c>
      <c r="J5" s="6" t="inlineStr">
        <is>
          <t>Criticality (1–5)</t>
        </is>
      </c>
      <c r="K5" s="6" t="inlineStr">
        <is>
          <t>Business value (1–5)</t>
        </is>
      </c>
      <c r="L5" s="6" t="inlineStr">
        <is>
          <t>Annual cost (USD)</t>
        </is>
      </c>
      <c r="M5" s="6" t="inlineStr">
        <is>
          <t>Technical risk (0–8)</t>
        </is>
      </c>
      <c r="N5" s="6" t="inlineStr">
        <is>
          <t>Priority (0–40)</t>
        </is>
      </c>
      <c r="O5" s="6" t="inlineStr">
        <is>
          <t>Suggested disposition</t>
        </is>
      </c>
      <c r="P5" s="6" t="inlineStr">
        <is>
          <t>Final decision</t>
        </is>
      </c>
      <c r="Q5" s="6" t="inlineStr">
        <is>
          <t>Owner</t>
        </is>
      </c>
      <c r="R5" s="6" t="inlineStr">
        <is>
          <t>Target date</t>
        </is>
      </c>
      <c r="S5" s="6" t="inlineStr">
        <is>
          <t>Notes</t>
        </is>
      </c>
    </row>
    <row r="6">
      <c r="A6" s="27" t="inlineStr">
        <is>
          <t>EXAMPLE – Laboratory information system</t>
        </is>
      </c>
      <c r="B6" s="27" t="inlineStr">
        <is>
          <t>Laboratory results</t>
        </is>
      </c>
      <c r="C6" s="27" t="inlineStr">
        <is>
          <t>Vendor A</t>
        </is>
      </c>
      <c r="D6" s="27" t="inlineStr">
        <is>
          <t>On-premises</t>
        </is>
      </c>
      <c r="E6" s="27" t="inlineStr">
        <is>
          <t>Windows Server 2012 R2</t>
        </is>
      </c>
      <c r="F6" s="27" t="inlineStr">
        <is>
          <t>No</t>
        </is>
      </c>
      <c r="G6" s="27" t="inlineStr">
        <is>
          <t>Unknown</t>
        </is>
      </c>
      <c r="H6" s="27" t="inlineStr">
        <is>
          <t>Yes</t>
        </is>
      </c>
      <c r="I6" s="27" t="n">
        <v>7</v>
      </c>
      <c r="J6" s="27" t="n">
        <v>5</v>
      </c>
      <c r="K6" s="27" t="n">
        <v>4</v>
      </c>
      <c r="L6" s="28" t="n">
        <v>180000</v>
      </c>
      <c r="M6" s="29">
        <f>IF(A6="","",IF(F6="No",3,IF(F6="Unknown",2,0))+IF(G6="Yes",3,IF(G6="Unknown",2,0))+IF(H6="Yes",1,0)+IF(N(I6)&gt;5,1,0))</f>
        <v/>
      </c>
      <c r="N6" s="29">
        <f>IF(OR(M6="",J6=""),"",M6*J6)</f>
        <v/>
      </c>
      <c r="O6" s="29">
        <f>IF(OR(M6="",J6="",K6=""),"",IF(AND(K6&lt;=2,J6&lt;=2),"Retire or consolidate",IF(AND(M6&gt;=5,K6&gt;=3),"Modernize first (upgrade or replatform)",IF(M6&gt;=5,"Isolate and plan replacement",IF(K6&gt;=4,"Retain and invest","Retain and monitor")))))</f>
        <v/>
      </c>
      <c r="P6" s="27" t="n"/>
      <c r="Q6" s="27" t="n"/>
      <c r="R6" s="30" t="n"/>
      <c r="S6" s="27" t="n"/>
    </row>
    <row r="7">
      <c r="A7" s="27" t="inlineStr">
        <is>
          <t>EXAMPLE – Staff scheduling tool</t>
        </is>
      </c>
      <c r="B7" s="27" t="inlineStr">
        <is>
          <t>Workforce scheduling</t>
        </is>
      </c>
      <c r="C7" s="27" t="inlineStr">
        <is>
          <t>Vendor B</t>
        </is>
      </c>
      <c r="D7" s="27" t="inlineStr">
        <is>
          <t>SaaS</t>
        </is>
      </c>
      <c r="E7" s="27" t="inlineStr">
        <is>
          <t>Vendor-managed</t>
        </is>
      </c>
      <c r="F7" s="27" t="inlineStr">
        <is>
          <t>Yes</t>
        </is>
      </c>
      <c r="G7" s="27" t="inlineStr">
        <is>
          <t>No</t>
        </is>
      </c>
      <c r="H7" s="27" t="inlineStr">
        <is>
          <t>No</t>
        </is>
      </c>
      <c r="I7" s="27" t="n">
        <v>1</v>
      </c>
      <c r="J7" s="27" t="n">
        <v>2</v>
      </c>
      <c r="K7" s="27" t="n">
        <v>2</v>
      </c>
      <c r="L7" s="28" t="n">
        <v>12000</v>
      </c>
      <c r="M7" s="29">
        <f>IF(A7="","",IF(F7="No",3,IF(F7="Unknown",2,0))+IF(G7="Yes",3,IF(G7="Unknown",2,0))+IF(H7="Yes",1,0)+IF(N(I7)&gt;5,1,0))</f>
        <v/>
      </c>
      <c r="N7" s="29">
        <f>IF(OR(M7="",J7=""),"",M7*J7)</f>
        <v/>
      </c>
      <c r="O7" s="29">
        <f>IF(OR(M7="",J7="",K7=""),"",IF(AND(K7&lt;=2,J7&lt;=2),"Retire or consolidate",IF(AND(M7&gt;=5,K7&gt;=3),"Modernize first (upgrade or replatform)",IF(M7&gt;=5,"Isolate and plan replacement",IF(K7&gt;=4,"Retain and invest","Retain and monitor")))))</f>
        <v/>
      </c>
      <c r="P7" s="27" t="n"/>
      <c r="Q7" s="27" t="n"/>
      <c r="R7" s="30" t="n"/>
      <c r="S7" s="27" t="n"/>
    </row>
    <row r="8">
      <c r="A8" s="17" t="n"/>
      <c r="B8" s="17" t="n"/>
      <c r="C8" s="17" t="n"/>
      <c r="D8" s="17" t="n"/>
      <c r="E8" s="17" t="n"/>
      <c r="F8" s="17" t="n"/>
      <c r="G8" s="17" t="n"/>
      <c r="H8" s="17" t="n"/>
      <c r="I8" s="17" t="n"/>
      <c r="J8" s="17" t="n"/>
      <c r="K8" s="17" t="n"/>
      <c r="L8" s="31" t="n"/>
      <c r="M8" s="32">
        <f>IF(A8="","",IF(F8="No",3,IF(F8="Unknown",2,0))+IF(G8="Yes",3,IF(G8="Unknown",2,0))+IF(H8="Yes",1,0)+IF(N(I8)&gt;5,1,0))</f>
        <v/>
      </c>
      <c r="N8" s="32">
        <f>IF(OR(M8="",J8=""),"",M8*J8)</f>
        <v/>
      </c>
      <c r="O8" s="32">
        <f>IF(OR(M8="",J8="",K8=""),"",IF(AND(K8&lt;=2,J8&lt;=2),"Retire or consolidate",IF(AND(M8&gt;=5,K8&gt;=3),"Modernize first (upgrade or replatform)",IF(M8&gt;=5,"Isolate and plan replacement",IF(K8&gt;=4,"Retain and invest","Retain and monitor")))))</f>
        <v/>
      </c>
      <c r="P8" s="17" t="n"/>
      <c r="Q8" s="17" t="n"/>
      <c r="R8" s="33" t="n"/>
      <c r="S8" s="17" t="n"/>
    </row>
    <row r="9">
      <c r="A9" s="17" t="n"/>
      <c r="B9" s="17" t="n"/>
      <c r="C9" s="17" t="n"/>
      <c r="D9" s="17" t="n"/>
      <c r="E9" s="17" t="n"/>
      <c r="F9" s="17" t="n"/>
      <c r="G9" s="17" t="n"/>
      <c r="H9" s="17" t="n"/>
      <c r="I9" s="17" t="n"/>
      <c r="J9" s="17" t="n"/>
      <c r="K9" s="17" t="n"/>
      <c r="L9" s="31" t="n"/>
      <c r="M9" s="32">
        <f>IF(A9="","",IF(F9="No",3,IF(F9="Unknown",2,0))+IF(G9="Yes",3,IF(G9="Unknown",2,0))+IF(H9="Yes",1,0)+IF(N(I9)&gt;5,1,0))</f>
        <v/>
      </c>
      <c r="N9" s="32">
        <f>IF(OR(M9="",J9=""),"",M9*J9)</f>
        <v/>
      </c>
      <c r="O9" s="32">
        <f>IF(OR(M9="",J9="",K9=""),"",IF(AND(K9&lt;=2,J9&lt;=2),"Retire or consolidate",IF(AND(M9&gt;=5,K9&gt;=3),"Modernize first (upgrade or replatform)",IF(M9&gt;=5,"Isolate and plan replacement",IF(K9&gt;=4,"Retain and invest","Retain and monitor")))))</f>
        <v/>
      </c>
      <c r="P9" s="17" t="n"/>
      <c r="Q9" s="17" t="n"/>
      <c r="R9" s="33" t="n"/>
      <c r="S9" s="17" t="n"/>
    </row>
    <row r="10">
      <c r="A10" s="17" t="n"/>
      <c r="B10" s="17" t="n"/>
      <c r="C10" s="17" t="n"/>
      <c r="D10" s="17" t="n"/>
      <c r="E10" s="17" t="n"/>
      <c r="F10" s="17" t="n"/>
      <c r="G10" s="17" t="n"/>
      <c r="H10" s="17" t="n"/>
      <c r="I10" s="17" t="n"/>
      <c r="J10" s="17" t="n"/>
      <c r="K10" s="17" t="n"/>
      <c r="L10" s="31" t="n"/>
      <c r="M10" s="32">
        <f>IF(A10="","",IF(F10="No",3,IF(F10="Unknown",2,0))+IF(G10="Yes",3,IF(G10="Unknown",2,0))+IF(H10="Yes",1,0)+IF(N(I10)&gt;5,1,0))</f>
        <v/>
      </c>
      <c r="N10" s="32">
        <f>IF(OR(M10="",J10=""),"",M10*J10)</f>
        <v/>
      </c>
      <c r="O10" s="32">
        <f>IF(OR(M10="",J10="",K10=""),"",IF(AND(K10&lt;=2,J10&lt;=2),"Retire or consolidate",IF(AND(M10&gt;=5,K10&gt;=3),"Modernize first (upgrade or replatform)",IF(M10&gt;=5,"Isolate and plan replacement",IF(K10&gt;=4,"Retain and invest","Retain and monitor")))))</f>
        <v/>
      </c>
      <c r="P10" s="17" t="n"/>
      <c r="Q10" s="17" t="n"/>
      <c r="R10" s="33" t="n"/>
      <c r="S10" s="17" t="n"/>
    </row>
    <row r="11">
      <c r="A11" s="17" t="n"/>
      <c r="B11" s="17" t="n"/>
      <c r="C11" s="17" t="n"/>
      <c r="D11" s="17" t="n"/>
      <c r="E11" s="17" t="n"/>
      <c r="F11" s="17" t="n"/>
      <c r="G11" s="17" t="n"/>
      <c r="H11" s="17" t="n"/>
      <c r="I11" s="17" t="n"/>
      <c r="J11" s="17" t="n"/>
      <c r="K11" s="17" t="n"/>
      <c r="L11" s="31" t="n"/>
      <c r="M11" s="32">
        <f>IF(A11="","",IF(F11="No",3,IF(F11="Unknown",2,0))+IF(G11="Yes",3,IF(G11="Unknown",2,0))+IF(H11="Yes",1,0)+IF(N(I11)&gt;5,1,0))</f>
        <v/>
      </c>
      <c r="N11" s="32">
        <f>IF(OR(M11="",J11=""),"",M11*J11)</f>
        <v/>
      </c>
      <c r="O11" s="32">
        <f>IF(OR(M11="",J11="",K11=""),"",IF(AND(K11&lt;=2,J11&lt;=2),"Retire or consolidate",IF(AND(M11&gt;=5,K11&gt;=3),"Modernize first (upgrade or replatform)",IF(M11&gt;=5,"Isolate and plan replacement",IF(K11&gt;=4,"Retain and invest","Retain and monitor")))))</f>
        <v/>
      </c>
      <c r="P11" s="17" t="n"/>
      <c r="Q11" s="17" t="n"/>
      <c r="R11" s="33" t="n"/>
      <c r="S11" s="17" t="n"/>
    </row>
    <row r="12">
      <c r="A12" s="17" t="n"/>
      <c r="B12" s="17" t="n"/>
      <c r="C12" s="17" t="n"/>
      <c r="D12" s="17" t="n"/>
      <c r="E12" s="17" t="n"/>
      <c r="F12" s="17" t="n"/>
      <c r="G12" s="17" t="n"/>
      <c r="H12" s="17" t="n"/>
      <c r="I12" s="17" t="n"/>
      <c r="J12" s="17" t="n"/>
      <c r="K12" s="17" t="n"/>
      <c r="L12" s="31" t="n"/>
      <c r="M12" s="32">
        <f>IF(A12="","",IF(F12="No",3,IF(F12="Unknown",2,0))+IF(G12="Yes",3,IF(G12="Unknown",2,0))+IF(H12="Yes",1,0)+IF(N(I12)&gt;5,1,0))</f>
        <v/>
      </c>
      <c r="N12" s="32">
        <f>IF(OR(M12="",J12=""),"",M12*J12)</f>
        <v/>
      </c>
      <c r="O12" s="32">
        <f>IF(OR(M12="",J12="",K12=""),"",IF(AND(K12&lt;=2,J12&lt;=2),"Retire or consolidate",IF(AND(M12&gt;=5,K12&gt;=3),"Modernize first (upgrade or replatform)",IF(M12&gt;=5,"Isolate and plan replacement",IF(K12&gt;=4,"Retain and invest","Retain and monitor")))))</f>
        <v/>
      </c>
      <c r="P12" s="17" t="n"/>
      <c r="Q12" s="17" t="n"/>
      <c r="R12" s="33" t="n"/>
      <c r="S12" s="17" t="n"/>
    </row>
    <row r="13">
      <c r="A13" s="17" t="n"/>
      <c r="B13" s="17" t="n"/>
      <c r="C13" s="17" t="n"/>
      <c r="D13" s="17" t="n"/>
      <c r="E13" s="17" t="n"/>
      <c r="F13" s="17" t="n"/>
      <c r="G13" s="17" t="n"/>
      <c r="H13" s="17" t="n"/>
      <c r="I13" s="17" t="n"/>
      <c r="J13" s="17" t="n"/>
      <c r="K13" s="17" t="n"/>
      <c r="L13" s="31" t="n"/>
      <c r="M13" s="32">
        <f>IF(A13="","",IF(F13="No",3,IF(F13="Unknown",2,0))+IF(G13="Yes",3,IF(G13="Unknown",2,0))+IF(H13="Yes",1,0)+IF(N(I13)&gt;5,1,0))</f>
        <v/>
      </c>
      <c r="N13" s="32">
        <f>IF(OR(M13="",J13=""),"",M13*J13)</f>
        <v/>
      </c>
      <c r="O13" s="32">
        <f>IF(OR(M13="",J13="",K13=""),"",IF(AND(K13&lt;=2,J13&lt;=2),"Retire or consolidate",IF(AND(M13&gt;=5,K13&gt;=3),"Modernize first (upgrade or replatform)",IF(M13&gt;=5,"Isolate and plan replacement",IF(K13&gt;=4,"Retain and invest","Retain and monitor")))))</f>
        <v/>
      </c>
      <c r="P13" s="17" t="n"/>
      <c r="Q13" s="17" t="n"/>
      <c r="R13" s="33" t="n"/>
      <c r="S13" s="17" t="n"/>
    </row>
    <row r="14">
      <c r="A14" s="17" t="n"/>
      <c r="B14" s="17" t="n"/>
      <c r="C14" s="17" t="n"/>
      <c r="D14" s="17" t="n"/>
      <c r="E14" s="17" t="n"/>
      <c r="F14" s="17" t="n"/>
      <c r="G14" s="17" t="n"/>
      <c r="H14" s="17" t="n"/>
      <c r="I14" s="17" t="n"/>
      <c r="J14" s="17" t="n"/>
      <c r="K14" s="17" t="n"/>
      <c r="L14" s="31" t="n"/>
      <c r="M14" s="32">
        <f>IF(A14="","",IF(F14="No",3,IF(F14="Unknown",2,0))+IF(G14="Yes",3,IF(G14="Unknown",2,0))+IF(H14="Yes",1,0)+IF(N(I14)&gt;5,1,0))</f>
        <v/>
      </c>
      <c r="N14" s="32">
        <f>IF(OR(M14="",J14=""),"",M14*J14)</f>
        <v/>
      </c>
      <c r="O14" s="32">
        <f>IF(OR(M14="",J14="",K14=""),"",IF(AND(K14&lt;=2,J14&lt;=2),"Retire or consolidate",IF(AND(M14&gt;=5,K14&gt;=3),"Modernize first (upgrade or replatform)",IF(M14&gt;=5,"Isolate and plan replacement",IF(K14&gt;=4,"Retain and invest","Retain and monitor")))))</f>
        <v/>
      </c>
      <c r="P14" s="17" t="n"/>
      <c r="Q14" s="17" t="n"/>
      <c r="R14" s="33" t="n"/>
      <c r="S14" s="17" t="n"/>
    </row>
    <row r="15">
      <c r="A15" s="17" t="n"/>
      <c r="B15" s="17" t="n"/>
      <c r="C15" s="17" t="n"/>
      <c r="D15" s="17" t="n"/>
      <c r="E15" s="17" t="n"/>
      <c r="F15" s="17" t="n"/>
      <c r="G15" s="17" t="n"/>
      <c r="H15" s="17" t="n"/>
      <c r="I15" s="17" t="n"/>
      <c r="J15" s="17" t="n"/>
      <c r="K15" s="17" t="n"/>
      <c r="L15" s="31" t="n"/>
      <c r="M15" s="32">
        <f>IF(A15="","",IF(F15="No",3,IF(F15="Unknown",2,0))+IF(G15="Yes",3,IF(G15="Unknown",2,0))+IF(H15="Yes",1,0)+IF(N(I15)&gt;5,1,0))</f>
        <v/>
      </c>
      <c r="N15" s="32">
        <f>IF(OR(M15="",J15=""),"",M15*J15)</f>
        <v/>
      </c>
      <c r="O15" s="32">
        <f>IF(OR(M15="",J15="",K15=""),"",IF(AND(K15&lt;=2,J15&lt;=2),"Retire or consolidate",IF(AND(M15&gt;=5,K15&gt;=3),"Modernize first (upgrade or replatform)",IF(M15&gt;=5,"Isolate and plan replacement",IF(K15&gt;=4,"Retain and invest","Retain and monitor")))))</f>
        <v/>
      </c>
      <c r="P15" s="17" t="n"/>
      <c r="Q15" s="17" t="n"/>
      <c r="R15" s="33" t="n"/>
      <c r="S15" s="17" t="n"/>
    </row>
    <row r="16">
      <c r="A16" s="17" t="n"/>
      <c r="B16" s="17" t="n"/>
      <c r="C16" s="17" t="n"/>
      <c r="D16" s="17" t="n"/>
      <c r="E16" s="17" t="n"/>
      <c r="F16" s="17" t="n"/>
      <c r="G16" s="17" t="n"/>
      <c r="H16" s="17" t="n"/>
      <c r="I16" s="17" t="n"/>
      <c r="J16" s="17" t="n"/>
      <c r="K16" s="17" t="n"/>
      <c r="L16" s="31" t="n"/>
      <c r="M16" s="32">
        <f>IF(A16="","",IF(F16="No",3,IF(F16="Unknown",2,0))+IF(G16="Yes",3,IF(G16="Unknown",2,0))+IF(H16="Yes",1,0)+IF(N(I16)&gt;5,1,0))</f>
        <v/>
      </c>
      <c r="N16" s="32">
        <f>IF(OR(M16="",J16=""),"",M16*J16)</f>
        <v/>
      </c>
      <c r="O16" s="32">
        <f>IF(OR(M16="",J16="",K16=""),"",IF(AND(K16&lt;=2,J16&lt;=2),"Retire or consolidate",IF(AND(M16&gt;=5,K16&gt;=3),"Modernize first (upgrade or replatform)",IF(M16&gt;=5,"Isolate and plan replacement",IF(K16&gt;=4,"Retain and invest","Retain and monitor")))))</f>
        <v/>
      </c>
      <c r="P16" s="17" t="n"/>
      <c r="Q16" s="17" t="n"/>
      <c r="R16" s="33" t="n"/>
      <c r="S16" s="17" t="n"/>
    </row>
    <row r="17">
      <c r="A17" s="17" t="n"/>
      <c r="B17" s="17" t="n"/>
      <c r="C17" s="17" t="n"/>
      <c r="D17" s="17" t="n"/>
      <c r="E17" s="17" t="n"/>
      <c r="F17" s="17" t="n"/>
      <c r="G17" s="17" t="n"/>
      <c r="H17" s="17" t="n"/>
      <c r="I17" s="17" t="n"/>
      <c r="J17" s="17" t="n"/>
      <c r="K17" s="17" t="n"/>
      <c r="L17" s="31" t="n"/>
      <c r="M17" s="32">
        <f>IF(A17="","",IF(F17="No",3,IF(F17="Unknown",2,0))+IF(G17="Yes",3,IF(G17="Unknown",2,0))+IF(H17="Yes",1,0)+IF(N(I17)&gt;5,1,0))</f>
        <v/>
      </c>
      <c r="N17" s="32">
        <f>IF(OR(M17="",J17=""),"",M17*J17)</f>
        <v/>
      </c>
      <c r="O17" s="32">
        <f>IF(OR(M17="",J17="",K17=""),"",IF(AND(K17&lt;=2,J17&lt;=2),"Retire or consolidate",IF(AND(M17&gt;=5,K17&gt;=3),"Modernize first (upgrade or replatform)",IF(M17&gt;=5,"Isolate and plan replacement",IF(K17&gt;=4,"Retain and invest","Retain and monitor")))))</f>
        <v/>
      </c>
      <c r="P17" s="17" t="n"/>
      <c r="Q17" s="17" t="n"/>
      <c r="R17" s="33" t="n"/>
      <c r="S17" s="17" t="n"/>
    </row>
    <row r="18">
      <c r="A18" s="17" t="n"/>
      <c r="B18" s="17" t="n"/>
      <c r="C18" s="17" t="n"/>
      <c r="D18" s="17" t="n"/>
      <c r="E18" s="17" t="n"/>
      <c r="F18" s="17" t="n"/>
      <c r="G18" s="17" t="n"/>
      <c r="H18" s="17" t="n"/>
      <c r="I18" s="17" t="n"/>
      <c r="J18" s="17" t="n"/>
      <c r="K18" s="17" t="n"/>
      <c r="L18" s="31" t="n"/>
      <c r="M18" s="32">
        <f>IF(A18="","",IF(F18="No",3,IF(F18="Unknown",2,0))+IF(G18="Yes",3,IF(G18="Unknown",2,0))+IF(H18="Yes",1,0)+IF(N(I18)&gt;5,1,0))</f>
        <v/>
      </c>
      <c r="N18" s="32">
        <f>IF(OR(M18="",J18=""),"",M18*J18)</f>
        <v/>
      </c>
      <c r="O18" s="32">
        <f>IF(OR(M18="",J18="",K18=""),"",IF(AND(K18&lt;=2,J18&lt;=2),"Retire or consolidate",IF(AND(M18&gt;=5,K18&gt;=3),"Modernize first (upgrade or replatform)",IF(M18&gt;=5,"Isolate and plan replacement",IF(K18&gt;=4,"Retain and invest","Retain and monitor")))))</f>
        <v/>
      </c>
      <c r="P18" s="17" t="n"/>
      <c r="Q18" s="17" t="n"/>
      <c r="R18" s="33" t="n"/>
      <c r="S18" s="17" t="n"/>
    </row>
    <row r="19">
      <c r="A19" s="17" t="n"/>
      <c r="B19" s="17" t="n"/>
      <c r="C19" s="17" t="n"/>
      <c r="D19" s="17" t="n"/>
      <c r="E19" s="17" t="n"/>
      <c r="F19" s="17" t="n"/>
      <c r="G19" s="17" t="n"/>
      <c r="H19" s="17" t="n"/>
      <c r="I19" s="17" t="n"/>
      <c r="J19" s="17" t="n"/>
      <c r="K19" s="17" t="n"/>
      <c r="L19" s="31" t="n"/>
      <c r="M19" s="32">
        <f>IF(A19="","",IF(F19="No",3,IF(F19="Unknown",2,0))+IF(G19="Yes",3,IF(G19="Unknown",2,0))+IF(H19="Yes",1,0)+IF(N(I19)&gt;5,1,0))</f>
        <v/>
      </c>
      <c r="N19" s="32">
        <f>IF(OR(M19="",J19=""),"",M19*J19)</f>
        <v/>
      </c>
      <c r="O19" s="32">
        <f>IF(OR(M19="",J19="",K19=""),"",IF(AND(K19&lt;=2,J19&lt;=2),"Retire or consolidate",IF(AND(M19&gt;=5,K19&gt;=3),"Modernize first (upgrade or replatform)",IF(M19&gt;=5,"Isolate and plan replacement",IF(K19&gt;=4,"Retain and invest","Retain and monitor")))))</f>
        <v/>
      </c>
      <c r="P19" s="17" t="n"/>
      <c r="Q19" s="17" t="n"/>
      <c r="R19" s="33" t="n"/>
      <c r="S19" s="17" t="n"/>
    </row>
    <row r="20">
      <c r="A20" s="17" t="n"/>
      <c r="B20" s="17" t="n"/>
      <c r="C20" s="17" t="n"/>
      <c r="D20" s="17" t="n"/>
      <c r="E20" s="17" t="n"/>
      <c r="F20" s="17" t="n"/>
      <c r="G20" s="17" t="n"/>
      <c r="H20" s="17" t="n"/>
      <c r="I20" s="17" t="n"/>
      <c r="J20" s="17" t="n"/>
      <c r="K20" s="17" t="n"/>
      <c r="L20" s="31" t="n"/>
      <c r="M20" s="32">
        <f>IF(A20="","",IF(F20="No",3,IF(F20="Unknown",2,0))+IF(G20="Yes",3,IF(G20="Unknown",2,0))+IF(H20="Yes",1,0)+IF(N(I20)&gt;5,1,0))</f>
        <v/>
      </c>
      <c r="N20" s="32">
        <f>IF(OR(M20="",J20=""),"",M20*J20)</f>
        <v/>
      </c>
      <c r="O20" s="32">
        <f>IF(OR(M20="",J20="",K20=""),"",IF(AND(K20&lt;=2,J20&lt;=2),"Retire or consolidate",IF(AND(M20&gt;=5,K20&gt;=3),"Modernize first (upgrade or replatform)",IF(M20&gt;=5,"Isolate and plan replacement",IF(K20&gt;=4,"Retain and invest","Retain and monitor")))))</f>
        <v/>
      </c>
      <c r="P20" s="17" t="n"/>
      <c r="Q20" s="17" t="n"/>
      <c r="R20" s="33" t="n"/>
      <c r="S20" s="17" t="n"/>
    </row>
    <row r="21">
      <c r="A21" s="17" t="n"/>
      <c r="B21" s="17" t="n"/>
      <c r="C21" s="17" t="n"/>
      <c r="D21" s="17" t="n"/>
      <c r="E21" s="17" t="n"/>
      <c r="F21" s="17" t="n"/>
      <c r="G21" s="17" t="n"/>
      <c r="H21" s="17" t="n"/>
      <c r="I21" s="17" t="n"/>
      <c r="J21" s="17" t="n"/>
      <c r="K21" s="17" t="n"/>
      <c r="L21" s="31" t="n"/>
      <c r="M21" s="32">
        <f>IF(A21="","",IF(F21="No",3,IF(F21="Unknown",2,0))+IF(G21="Yes",3,IF(G21="Unknown",2,0))+IF(H21="Yes",1,0)+IF(N(I21)&gt;5,1,0))</f>
        <v/>
      </c>
      <c r="N21" s="32">
        <f>IF(OR(M21="",J21=""),"",M21*J21)</f>
        <v/>
      </c>
      <c r="O21" s="32">
        <f>IF(OR(M21="",J21="",K21=""),"",IF(AND(K21&lt;=2,J21&lt;=2),"Retire or consolidate",IF(AND(M21&gt;=5,K21&gt;=3),"Modernize first (upgrade or replatform)",IF(M21&gt;=5,"Isolate and plan replacement",IF(K21&gt;=4,"Retain and invest","Retain and monitor")))))</f>
        <v/>
      </c>
      <c r="P21" s="17" t="n"/>
      <c r="Q21" s="17" t="n"/>
      <c r="R21" s="33" t="n"/>
      <c r="S21" s="17" t="n"/>
    </row>
    <row r="22">
      <c r="A22" s="17" t="n"/>
      <c r="B22" s="17" t="n"/>
      <c r="C22" s="17" t="n"/>
      <c r="D22" s="17" t="n"/>
      <c r="E22" s="17" t="n"/>
      <c r="F22" s="17" t="n"/>
      <c r="G22" s="17" t="n"/>
      <c r="H22" s="17" t="n"/>
      <c r="I22" s="17" t="n"/>
      <c r="J22" s="17" t="n"/>
      <c r="K22" s="17" t="n"/>
      <c r="L22" s="31" t="n"/>
      <c r="M22" s="32">
        <f>IF(A22="","",IF(F22="No",3,IF(F22="Unknown",2,0))+IF(G22="Yes",3,IF(G22="Unknown",2,0))+IF(H22="Yes",1,0)+IF(N(I22)&gt;5,1,0))</f>
        <v/>
      </c>
      <c r="N22" s="32">
        <f>IF(OR(M22="",J22=""),"",M22*J22)</f>
        <v/>
      </c>
      <c r="O22" s="32">
        <f>IF(OR(M22="",J22="",K22=""),"",IF(AND(K22&lt;=2,J22&lt;=2),"Retire or consolidate",IF(AND(M22&gt;=5,K22&gt;=3),"Modernize first (upgrade or replatform)",IF(M22&gt;=5,"Isolate and plan replacement",IF(K22&gt;=4,"Retain and invest","Retain and monitor")))))</f>
        <v/>
      </c>
      <c r="P22" s="17" t="n"/>
      <c r="Q22" s="17" t="n"/>
      <c r="R22" s="33" t="n"/>
      <c r="S22" s="17" t="n"/>
    </row>
    <row r="23">
      <c r="A23" s="17" t="n"/>
      <c r="B23" s="17" t="n"/>
      <c r="C23" s="17" t="n"/>
      <c r="D23" s="17" t="n"/>
      <c r="E23" s="17" t="n"/>
      <c r="F23" s="17" t="n"/>
      <c r="G23" s="17" t="n"/>
      <c r="H23" s="17" t="n"/>
      <c r="I23" s="17" t="n"/>
      <c r="J23" s="17" t="n"/>
      <c r="K23" s="17" t="n"/>
      <c r="L23" s="31" t="n"/>
      <c r="M23" s="32">
        <f>IF(A23="","",IF(F23="No",3,IF(F23="Unknown",2,0))+IF(G23="Yes",3,IF(G23="Unknown",2,0))+IF(H23="Yes",1,0)+IF(N(I23)&gt;5,1,0))</f>
        <v/>
      </c>
      <c r="N23" s="32">
        <f>IF(OR(M23="",J23=""),"",M23*J23)</f>
        <v/>
      </c>
      <c r="O23" s="32">
        <f>IF(OR(M23="",J23="",K23=""),"",IF(AND(K23&lt;=2,J23&lt;=2),"Retire or consolidate",IF(AND(M23&gt;=5,K23&gt;=3),"Modernize first (upgrade or replatform)",IF(M23&gt;=5,"Isolate and plan replacement",IF(K23&gt;=4,"Retain and invest","Retain and monitor")))))</f>
        <v/>
      </c>
      <c r="P23" s="17" t="n"/>
      <c r="Q23" s="17" t="n"/>
      <c r="R23" s="33" t="n"/>
      <c r="S23" s="17" t="n"/>
    </row>
    <row r="24">
      <c r="A24" s="17" t="n"/>
      <c r="B24" s="17" t="n"/>
      <c r="C24" s="17" t="n"/>
      <c r="D24" s="17" t="n"/>
      <c r="E24" s="17" t="n"/>
      <c r="F24" s="17" t="n"/>
      <c r="G24" s="17" t="n"/>
      <c r="H24" s="17" t="n"/>
      <c r="I24" s="17" t="n"/>
      <c r="J24" s="17" t="n"/>
      <c r="K24" s="17" t="n"/>
      <c r="L24" s="31" t="n"/>
      <c r="M24" s="32">
        <f>IF(A24="","",IF(F24="No",3,IF(F24="Unknown",2,0))+IF(G24="Yes",3,IF(G24="Unknown",2,0))+IF(H24="Yes",1,0)+IF(N(I24)&gt;5,1,0))</f>
        <v/>
      </c>
      <c r="N24" s="32">
        <f>IF(OR(M24="",J24=""),"",M24*J24)</f>
        <v/>
      </c>
      <c r="O24" s="32">
        <f>IF(OR(M24="",J24="",K24=""),"",IF(AND(K24&lt;=2,J24&lt;=2),"Retire or consolidate",IF(AND(M24&gt;=5,K24&gt;=3),"Modernize first (upgrade or replatform)",IF(M24&gt;=5,"Isolate and plan replacement",IF(K24&gt;=4,"Retain and invest","Retain and monitor")))))</f>
        <v/>
      </c>
      <c r="P24" s="17" t="n"/>
      <c r="Q24" s="17" t="n"/>
      <c r="R24" s="33" t="n"/>
      <c r="S24" s="17" t="n"/>
    </row>
    <row r="25">
      <c r="A25" s="17" t="n"/>
      <c r="B25" s="17" t="n"/>
      <c r="C25" s="17" t="n"/>
      <c r="D25" s="17" t="n"/>
      <c r="E25" s="17" t="n"/>
      <c r="F25" s="17" t="n"/>
      <c r="G25" s="17" t="n"/>
      <c r="H25" s="17" t="n"/>
      <c r="I25" s="17" t="n"/>
      <c r="J25" s="17" t="n"/>
      <c r="K25" s="17" t="n"/>
      <c r="L25" s="31" t="n"/>
      <c r="M25" s="32">
        <f>IF(A25="","",IF(F25="No",3,IF(F25="Unknown",2,0))+IF(G25="Yes",3,IF(G25="Unknown",2,0))+IF(H25="Yes",1,0)+IF(N(I25)&gt;5,1,0))</f>
        <v/>
      </c>
      <c r="N25" s="32">
        <f>IF(OR(M25="",J25=""),"",M25*J25)</f>
        <v/>
      </c>
      <c r="O25" s="32">
        <f>IF(OR(M25="",J25="",K25=""),"",IF(AND(K25&lt;=2,J25&lt;=2),"Retire or consolidate",IF(AND(M25&gt;=5,K25&gt;=3),"Modernize first (upgrade or replatform)",IF(M25&gt;=5,"Isolate and plan replacement",IF(K25&gt;=4,"Retain and invest","Retain and monitor")))))</f>
        <v/>
      </c>
      <c r="P25" s="17" t="n"/>
      <c r="Q25" s="17" t="n"/>
      <c r="R25" s="33" t="n"/>
      <c r="S25" s="17" t="n"/>
    </row>
    <row r="26">
      <c r="A26" s="17" t="n"/>
      <c r="B26" s="17" t="n"/>
      <c r="C26" s="17" t="n"/>
      <c r="D26" s="17" t="n"/>
      <c r="E26" s="17" t="n"/>
      <c r="F26" s="17" t="n"/>
      <c r="G26" s="17" t="n"/>
      <c r="H26" s="17" t="n"/>
      <c r="I26" s="17" t="n"/>
      <c r="J26" s="17" t="n"/>
      <c r="K26" s="17" t="n"/>
      <c r="L26" s="31" t="n"/>
      <c r="M26" s="32">
        <f>IF(A26="","",IF(F26="No",3,IF(F26="Unknown",2,0))+IF(G26="Yes",3,IF(G26="Unknown",2,0))+IF(H26="Yes",1,0)+IF(N(I26)&gt;5,1,0))</f>
        <v/>
      </c>
      <c r="N26" s="32">
        <f>IF(OR(M26="",J26=""),"",M26*J26)</f>
        <v/>
      </c>
      <c r="O26" s="32">
        <f>IF(OR(M26="",J26="",K26=""),"",IF(AND(K26&lt;=2,J26&lt;=2),"Retire or consolidate",IF(AND(M26&gt;=5,K26&gt;=3),"Modernize first (upgrade or replatform)",IF(M26&gt;=5,"Isolate and plan replacement",IF(K26&gt;=4,"Retain and invest","Retain and monitor")))))</f>
        <v/>
      </c>
      <c r="P26" s="17" t="n"/>
      <c r="Q26" s="17" t="n"/>
      <c r="R26" s="33" t="n"/>
      <c r="S26" s="17" t="n"/>
    </row>
    <row r="27">
      <c r="A27" s="17" t="n"/>
      <c r="B27" s="17" t="n"/>
      <c r="C27" s="17" t="n"/>
      <c r="D27" s="17" t="n"/>
      <c r="E27" s="17" t="n"/>
      <c r="F27" s="17" t="n"/>
      <c r="G27" s="17" t="n"/>
      <c r="H27" s="17" t="n"/>
      <c r="I27" s="17" t="n"/>
      <c r="J27" s="17" t="n"/>
      <c r="K27" s="17" t="n"/>
      <c r="L27" s="31" t="n"/>
      <c r="M27" s="32">
        <f>IF(A27="","",IF(F27="No",3,IF(F27="Unknown",2,0))+IF(G27="Yes",3,IF(G27="Unknown",2,0))+IF(H27="Yes",1,0)+IF(N(I27)&gt;5,1,0))</f>
        <v/>
      </c>
      <c r="N27" s="32">
        <f>IF(OR(M27="",J27=""),"",M27*J27)</f>
        <v/>
      </c>
      <c r="O27" s="32">
        <f>IF(OR(M27="",J27="",K27=""),"",IF(AND(K27&lt;=2,J27&lt;=2),"Retire or consolidate",IF(AND(M27&gt;=5,K27&gt;=3),"Modernize first (upgrade or replatform)",IF(M27&gt;=5,"Isolate and plan replacement",IF(K27&gt;=4,"Retain and invest","Retain and monitor")))))</f>
        <v/>
      </c>
      <c r="P27" s="17" t="n"/>
      <c r="Q27" s="17" t="n"/>
      <c r="R27" s="33" t="n"/>
      <c r="S27" s="17" t="n"/>
    </row>
    <row r="28">
      <c r="A28" s="17" t="n"/>
      <c r="B28" s="17" t="n"/>
      <c r="C28" s="17" t="n"/>
      <c r="D28" s="17" t="n"/>
      <c r="E28" s="17" t="n"/>
      <c r="F28" s="17" t="n"/>
      <c r="G28" s="17" t="n"/>
      <c r="H28" s="17" t="n"/>
      <c r="I28" s="17" t="n"/>
      <c r="J28" s="17" t="n"/>
      <c r="K28" s="17" t="n"/>
      <c r="L28" s="31" t="n"/>
      <c r="M28" s="32">
        <f>IF(A28="","",IF(F28="No",3,IF(F28="Unknown",2,0))+IF(G28="Yes",3,IF(G28="Unknown",2,0))+IF(H28="Yes",1,0)+IF(N(I28)&gt;5,1,0))</f>
        <v/>
      </c>
      <c r="N28" s="32">
        <f>IF(OR(M28="",J28=""),"",M28*J28)</f>
        <v/>
      </c>
      <c r="O28" s="32">
        <f>IF(OR(M28="",J28="",K28=""),"",IF(AND(K28&lt;=2,J28&lt;=2),"Retire or consolidate",IF(AND(M28&gt;=5,K28&gt;=3),"Modernize first (upgrade or replatform)",IF(M28&gt;=5,"Isolate and plan replacement",IF(K28&gt;=4,"Retain and invest","Retain and monitor")))))</f>
        <v/>
      </c>
      <c r="P28" s="17" t="n"/>
      <c r="Q28" s="17" t="n"/>
      <c r="R28" s="33" t="n"/>
      <c r="S28" s="17" t="n"/>
    </row>
    <row r="29">
      <c r="A29" s="17" t="n"/>
      <c r="B29" s="17" t="n"/>
      <c r="C29" s="17" t="n"/>
      <c r="D29" s="17" t="n"/>
      <c r="E29" s="17" t="n"/>
      <c r="F29" s="17" t="n"/>
      <c r="G29" s="17" t="n"/>
      <c r="H29" s="17" t="n"/>
      <c r="I29" s="17" t="n"/>
      <c r="J29" s="17" t="n"/>
      <c r="K29" s="17" t="n"/>
      <c r="L29" s="31" t="n"/>
      <c r="M29" s="32">
        <f>IF(A29="","",IF(F29="No",3,IF(F29="Unknown",2,0))+IF(G29="Yes",3,IF(G29="Unknown",2,0))+IF(H29="Yes",1,0)+IF(N(I29)&gt;5,1,0))</f>
        <v/>
      </c>
      <c r="N29" s="32">
        <f>IF(OR(M29="",J29=""),"",M29*J29)</f>
        <v/>
      </c>
      <c r="O29" s="32">
        <f>IF(OR(M29="",J29="",K29=""),"",IF(AND(K29&lt;=2,J29&lt;=2),"Retire or consolidate",IF(AND(M29&gt;=5,K29&gt;=3),"Modernize first (upgrade or replatform)",IF(M29&gt;=5,"Isolate and plan replacement",IF(K29&gt;=4,"Retain and invest","Retain and monitor")))))</f>
        <v/>
      </c>
      <c r="P29" s="17" t="n"/>
      <c r="Q29" s="17" t="n"/>
      <c r="R29" s="33" t="n"/>
      <c r="S29" s="17" t="n"/>
    </row>
    <row r="30">
      <c r="A30" s="17" t="n"/>
      <c r="B30" s="17" t="n"/>
      <c r="C30" s="17" t="n"/>
      <c r="D30" s="17" t="n"/>
      <c r="E30" s="17" t="n"/>
      <c r="F30" s="17" t="n"/>
      <c r="G30" s="17" t="n"/>
      <c r="H30" s="17" t="n"/>
      <c r="I30" s="17" t="n"/>
      <c r="J30" s="17" t="n"/>
      <c r="K30" s="17" t="n"/>
      <c r="L30" s="31" t="n"/>
      <c r="M30" s="32">
        <f>IF(A30="","",IF(F30="No",3,IF(F30="Unknown",2,0))+IF(G30="Yes",3,IF(G30="Unknown",2,0))+IF(H30="Yes",1,0)+IF(N(I30)&gt;5,1,0))</f>
        <v/>
      </c>
      <c r="N30" s="32">
        <f>IF(OR(M30="",J30=""),"",M30*J30)</f>
        <v/>
      </c>
      <c r="O30" s="32">
        <f>IF(OR(M30="",J30="",K30=""),"",IF(AND(K30&lt;=2,J30&lt;=2),"Retire or consolidate",IF(AND(M30&gt;=5,K30&gt;=3),"Modernize first (upgrade or replatform)",IF(M30&gt;=5,"Isolate and plan replacement",IF(K30&gt;=4,"Retain and invest","Retain and monitor")))))</f>
        <v/>
      </c>
      <c r="P30" s="17" t="n"/>
      <c r="Q30" s="17" t="n"/>
      <c r="R30" s="33" t="n"/>
      <c r="S30" s="17" t="n"/>
    </row>
    <row r="31">
      <c r="A31" s="17" t="n"/>
      <c r="B31" s="17" t="n"/>
      <c r="C31" s="17" t="n"/>
      <c r="D31" s="17" t="n"/>
      <c r="E31" s="17" t="n"/>
      <c r="F31" s="17" t="n"/>
      <c r="G31" s="17" t="n"/>
      <c r="H31" s="17" t="n"/>
      <c r="I31" s="17" t="n"/>
      <c r="J31" s="17" t="n"/>
      <c r="K31" s="17" t="n"/>
      <c r="L31" s="31" t="n"/>
      <c r="M31" s="32">
        <f>IF(A31="","",IF(F31="No",3,IF(F31="Unknown",2,0))+IF(G31="Yes",3,IF(G31="Unknown",2,0))+IF(H31="Yes",1,0)+IF(N(I31)&gt;5,1,0))</f>
        <v/>
      </c>
      <c r="N31" s="32">
        <f>IF(OR(M31="",J31=""),"",M31*J31)</f>
        <v/>
      </c>
      <c r="O31" s="32">
        <f>IF(OR(M31="",J31="",K31=""),"",IF(AND(K31&lt;=2,J31&lt;=2),"Retire or consolidate",IF(AND(M31&gt;=5,K31&gt;=3),"Modernize first (upgrade or replatform)",IF(M31&gt;=5,"Isolate and plan replacement",IF(K31&gt;=4,"Retain and invest","Retain and monitor")))))</f>
        <v/>
      </c>
      <c r="P31" s="17" t="n"/>
      <c r="Q31" s="17" t="n"/>
      <c r="R31" s="33" t="n"/>
      <c r="S31" s="17" t="n"/>
    </row>
    <row r="32">
      <c r="A32" s="17" t="n"/>
      <c r="B32" s="17" t="n"/>
      <c r="C32" s="17" t="n"/>
      <c r="D32" s="17" t="n"/>
      <c r="E32" s="17" t="n"/>
      <c r="F32" s="17" t="n"/>
      <c r="G32" s="17" t="n"/>
      <c r="H32" s="17" t="n"/>
      <c r="I32" s="17" t="n"/>
      <c r="J32" s="17" t="n"/>
      <c r="K32" s="17" t="n"/>
      <c r="L32" s="31" t="n"/>
      <c r="M32" s="32">
        <f>IF(A32="","",IF(F32="No",3,IF(F32="Unknown",2,0))+IF(G32="Yes",3,IF(G32="Unknown",2,0))+IF(H32="Yes",1,0)+IF(N(I32)&gt;5,1,0))</f>
        <v/>
      </c>
      <c r="N32" s="32">
        <f>IF(OR(M32="",J32=""),"",M32*J32)</f>
        <v/>
      </c>
      <c r="O32" s="32">
        <f>IF(OR(M32="",J32="",K32=""),"",IF(AND(K32&lt;=2,J32&lt;=2),"Retire or consolidate",IF(AND(M32&gt;=5,K32&gt;=3),"Modernize first (upgrade or replatform)",IF(M32&gt;=5,"Isolate and plan replacement",IF(K32&gt;=4,"Retain and invest","Retain and monitor")))))</f>
        <v/>
      </c>
      <c r="P32" s="17" t="n"/>
      <c r="Q32" s="17" t="n"/>
      <c r="R32" s="33" t="n"/>
      <c r="S32" s="17" t="n"/>
    </row>
    <row r="33">
      <c r="A33" s="17" t="n"/>
      <c r="B33" s="17" t="n"/>
      <c r="C33" s="17" t="n"/>
      <c r="D33" s="17" t="n"/>
      <c r="E33" s="17" t="n"/>
      <c r="F33" s="17" t="n"/>
      <c r="G33" s="17" t="n"/>
      <c r="H33" s="17" t="n"/>
      <c r="I33" s="17" t="n"/>
      <c r="J33" s="17" t="n"/>
      <c r="K33" s="17" t="n"/>
      <c r="L33" s="31" t="n"/>
      <c r="M33" s="32">
        <f>IF(A33="","",IF(F33="No",3,IF(F33="Unknown",2,0))+IF(G33="Yes",3,IF(G33="Unknown",2,0))+IF(H33="Yes",1,0)+IF(N(I33)&gt;5,1,0))</f>
        <v/>
      </c>
      <c r="N33" s="32">
        <f>IF(OR(M33="",J33=""),"",M33*J33)</f>
        <v/>
      </c>
      <c r="O33" s="32">
        <f>IF(OR(M33="",J33="",K33=""),"",IF(AND(K33&lt;=2,J33&lt;=2),"Retire or consolidate",IF(AND(M33&gt;=5,K33&gt;=3),"Modernize first (upgrade or replatform)",IF(M33&gt;=5,"Isolate and plan replacement",IF(K33&gt;=4,"Retain and invest","Retain and monitor")))))</f>
        <v/>
      </c>
      <c r="P33" s="17" t="n"/>
      <c r="Q33" s="17" t="n"/>
      <c r="R33" s="33" t="n"/>
      <c r="S33" s="17" t="n"/>
    </row>
    <row r="34">
      <c r="A34" s="17" t="n"/>
      <c r="B34" s="17" t="n"/>
      <c r="C34" s="17" t="n"/>
      <c r="D34" s="17" t="n"/>
      <c r="E34" s="17" t="n"/>
      <c r="F34" s="17" t="n"/>
      <c r="G34" s="17" t="n"/>
      <c r="H34" s="17" t="n"/>
      <c r="I34" s="17" t="n"/>
      <c r="J34" s="17" t="n"/>
      <c r="K34" s="17" t="n"/>
      <c r="L34" s="31" t="n"/>
      <c r="M34" s="32">
        <f>IF(A34="","",IF(F34="No",3,IF(F34="Unknown",2,0))+IF(G34="Yes",3,IF(G34="Unknown",2,0))+IF(H34="Yes",1,0)+IF(N(I34)&gt;5,1,0))</f>
        <v/>
      </c>
      <c r="N34" s="32">
        <f>IF(OR(M34="",J34=""),"",M34*J34)</f>
        <v/>
      </c>
      <c r="O34" s="32">
        <f>IF(OR(M34="",J34="",K34=""),"",IF(AND(K34&lt;=2,J34&lt;=2),"Retire or consolidate",IF(AND(M34&gt;=5,K34&gt;=3),"Modernize first (upgrade or replatform)",IF(M34&gt;=5,"Isolate and plan replacement",IF(K34&gt;=4,"Retain and invest","Retain and monitor")))))</f>
        <v/>
      </c>
      <c r="P34" s="17" t="n"/>
      <c r="Q34" s="17" t="n"/>
      <c r="R34" s="33" t="n"/>
      <c r="S34" s="17" t="n"/>
    </row>
    <row r="35">
      <c r="A35" s="17" t="n"/>
      <c r="B35" s="17" t="n"/>
      <c r="C35" s="17" t="n"/>
      <c r="D35" s="17" t="n"/>
      <c r="E35" s="17" t="n"/>
      <c r="F35" s="17" t="n"/>
      <c r="G35" s="17" t="n"/>
      <c r="H35" s="17" t="n"/>
      <c r="I35" s="17" t="n"/>
      <c r="J35" s="17" t="n"/>
      <c r="K35" s="17" t="n"/>
      <c r="L35" s="31" t="n"/>
      <c r="M35" s="32">
        <f>IF(A35="","",IF(F35="No",3,IF(F35="Unknown",2,0))+IF(G35="Yes",3,IF(G35="Unknown",2,0))+IF(H35="Yes",1,0)+IF(N(I35)&gt;5,1,0))</f>
        <v/>
      </c>
      <c r="N35" s="32">
        <f>IF(OR(M35="",J35=""),"",M35*J35)</f>
        <v/>
      </c>
      <c r="O35" s="32">
        <f>IF(OR(M35="",J35="",K35=""),"",IF(AND(K35&lt;=2,J35&lt;=2),"Retire or consolidate",IF(AND(M35&gt;=5,K35&gt;=3),"Modernize first (upgrade or replatform)",IF(M35&gt;=5,"Isolate and plan replacement",IF(K35&gt;=4,"Retain and invest","Retain and monitor")))))</f>
        <v/>
      </c>
      <c r="P35" s="17" t="n"/>
      <c r="Q35" s="17" t="n"/>
      <c r="R35" s="33" t="n"/>
      <c r="S35" s="17" t="n"/>
    </row>
    <row r="36">
      <c r="A36" s="17" t="n"/>
      <c r="B36" s="17" t="n"/>
      <c r="C36" s="17" t="n"/>
      <c r="D36" s="17" t="n"/>
      <c r="E36" s="17" t="n"/>
      <c r="F36" s="17" t="n"/>
      <c r="G36" s="17" t="n"/>
      <c r="H36" s="17" t="n"/>
      <c r="I36" s="17" t="n"/>
      <c r="J36" s="17" t="n"/>
      <c r="K36" s="17" t="n"/>
      <c r="L36" s="31" t="n"/>
      <c r="M36" s="32">
        <f>IF(A36="","",IF(F36="No",3,IF(F36="Unknown",2,0))+IF(G36="Yes",3,IF(G36="Unknown",2,0))+IF(H36="Yes",1,0)+IF(N(I36)&gt;5,1,0))</f>
        <v/>
      </c>
      <c r="N36" s="32">
        <f>IF(OR(M36="",J36=""),"",M36*J36)</f>
        <v/>
      </c>
      <c r="O36" s="32">
        <f>IF(OR(M36="",J36="",K36=""),"",IF(AND(K36&lt;=2,J36&lt;=2),"Retire or consolidate",IF(AND(M36&gt;=5,K36&gt;=3),"Modernize first (upgrade or replatform)",IF(M36&gt;=5,"Isolate and plan replacement",IF(K36&gt;=4,"Retain and invest","Retain and monitor")))))</f>
        <v/>
      </c>
      <c r="P36" s="17" t="n"/>
      <c r="Q36" s="17" t="n"/>
      <c r="R36" s="33" t="n"/>
      <c r="S36" s="17" t="n"/>
    </row>
    <row r="37">
      <c r="A37" s="17" t="n"/>
      <c r="B37" s="17" t="n"/>
      <c r="C37" s="17" t="n"/>
      <c r="D37" s="17" t="n"/>
      <c r="E37" s="17" t="n"/>
      <c r="F37" s="17" t="n"/>
      <c r="G37" s="17" t="n"/>
      <c r="H37" s="17" t="n"/>
      <c r="I37" s="17" t="n"/>
      <c r="J37" s="17" t="n"/>
      <c r="K37" s="17" t="n"/>
      <c r="L37" s="31" t="n"/>
      <c r="M37" s="32">
        <f>IF(A37="","",IF(F37="No",3,IF(F37="Unknown",2,0))+IF(G37="Yes",3,IF(G37="Unknown",2,0))+IF(H37="Yes",1,0)+IF(N(I37)&gt;5,1,0))</f>
        <v/>
      </c>
      <c r="N37" s="32">
        <f>IF(OR(M37="",J37=""),"",M37*J37)</f>
        <v/>
      </c>
      <c r="O37" s="32">
        <f>IF(OR(M37="",J37="",K37=""),"",IF(AND(K37&lt;=2,J37&lt;=2),"Retire or consolidate",IF(AND(M37&gt;=5,K37&gt;=3),"Modernize first (upgrade or replatform)",IF(M37&gt;=5,"Isolate and plan replacement",IF(K37&gt;=4,"Retain and invest","Retain and monitor")))))</f>
        <v/>
      </c>
      <c r="P37" s="17" t="n"/>
      <c r="Q37" s="17" t="n"/>
      <c r="R37" s="33" t="n"/>
      <c r="S37" s="17" t="n"/>
    </row>
    <row r="38">
      <c r="A38" s="17" t="n"/>
      <c r="B38" s="17" t="n"/>
      <c r="C38" s="17" t="n"/>
      <c r="D38" s="17" t="n"/>
      <c r="E38" s="17" t="n"/>
      <c r="F38" s="17" t="n"/>
      <c r="G38" s="17" t="n"/>
      <c r="H38" s="17" t="n"/>
      <c r="I38" s="17" t="n"/>
      <c r="J38" s="17" t="n"/>
      <c r="K38" s="17" t="n"/>
      <c r="L38" s="31" t="n"/>
      <c r="M38" s="32">
        <f>IF(A38="","",IF(F38="No",3,IF(F38="Unknown",2,0))+IF(G38="Yes",3,IF(G38="Unknown",2,0))+IF(H38="Yes",1,0)+IF(N(I38)&gt;5,1,0))</f>
        <v/>
      </c>
      <c r="N38" s="32">
        <f>IF(OR(M38="",J38=""),"",M38*J38)</f>
        <v/>
      </c>
      <c r="O38" s="32">
        <f>IF(OR(M38="",J38="",K38=""),"",IF(AND(K38&lt;=2,J38&lt;=2),"Retire or consolidate",IF(AND(M38&gt;=5,K38&gt;=3),"Modernize first (upgrade or replatform)",IF(M38&gt;=5,"Isolate and plan replacement",IF(K38&gt;=4,"Retain and invest","Retain and monitor")))))</f>
        <v/>
      </c>
      <c r="P38" s="17" t="n"/>
      <c r="Q38" s="17" t="n"/>
      <c r="R38" s="33" t="n"/>
      <c r="S38" s="17" t="n"/>
    </row>
    <row r="39">
      <c r="A39" s="17" t="n"/>
      <c r="B39" s="17" t="n"/>
      <c r="C39" s="17" t="n"/>
      <c r="D39" s="17" t="n"/>
      <c r="E39" s="17" t="n"/>
      <c r="F39" s="17" t="n"/>
      <c r="G39" s="17" t="n"/>
      <c r="H39" s="17" t="n"/>
      <c r="I39" s="17" t="n"/>
      <c r="J39" s="17" t="n"/>
      <c r="K39" s="17" t="n"/>
      <c r="L39" s="31" t="n"/>
      <c r="M39" s="32">
        <f>IF(A39="","",IF(F39="No",3,IF(F39="Unknown",2,0))+IF(G39="Yes",3,IF(G39="Unknown",2,0))+IF(H39="Yes",1,0)+IF(N(I39)&gt;5,1,0))</f>
        <v/>
      </c>
      <c r="N39" s="32">
        <f>IF(OR(M39="",J39=""),"",M39*J39)</f>
        <v/>
      </c>
      <c r="O39" s="32">
        <f>IF(OR(M39="",J39="",K39=""),"",IF(AND(K39&lt;=2,J39&lt;=2),"Retire or consolidate",IF(AND(M39&gt;=5,K39&gt;=3),"Modernize first (upgrade or replatform)",IF(M39&gt;=5,"Isolate and plan replacement",IF(K39&gt;=4,"Retain and invest","Retain and monitor")))))</f>
        <v/>
      </c>
      <c r="P39" s="17" t="n"/>
      <c r="Q39" s="17" t="n"/>
      <c r="R39" s="33" t="n"/>
      <c r="S39" s="17" t="n"/>
    </row>
    <row r="40">
      <c r="A40" s="17" t="n"/>
      <c r="B40" s="17" t="n"/>
      <c r="C40" s="17" t="n"/>
      <c r="D40" s="17" t="n"/>
      <c r="E40" s="17" t="n"/>
      <c r="F40" s="17" t="n"/>
      <c r="G40" s="17" t="n"/>
      <c r="H40" s="17" t="n"/>
      <c r="I40" s="17" t="n"/>
      <c r="J40" s="17" t="n"/>
      <c r="K40" s="17" t="n"/>
      <c r="L40" s="31" t="n"/>
      <c r="M40" s="32">
        <f>IF(A40="","",IF(F40="No",3,IF(F40="Unknown",2,0))+IF(G40="Yes",3,IF(G40="Unknown",2,0))+IF(H40="Yes",1,0)+IF(N(I40)&gt;5,1,0))</f>
        <v/>
      </c>
      <c r="N40" s="32">
        <f>IF(OR(M40="",J40=""),"",M40*J40)</f>
        <v/>
      </c>
      <c r="O40" s="32">
        <f>IF(OR(M40="",J40="",K40=""),"",IF(AND(K40&lt;=2,J40&lt;=2),"Retire or consolidate",IF(AND(M40&gt;=5,K40&gt;=3),"Modernize first (upgrade or replatform)",IF(M40&gt;=5,"Isolate and plan replacement",IF(K40&gt;=4,"Retain and invest","Retain and monitor")))))</f>
        <v/>
      </c>
      <c r="P40" s="17" t="n"/>
      <c r="Q40" s="17" t="n"/>
      <c r="R40" s="33" t="n"/>
      <c r="S40" s="17" t="n"/>
    </row>
    <row r="41">
      <c r="A41" s="17" t="n"/>
      <c r="B41" s="17" t="n"/>
      <c r="C41" s="17" t="n"/>
      <c r="D41" s="17" t="n"/>
      <c r="E41" s="17" t="n"/>
      <c r="F41" s="17" t="n"/>
      <c r="G41" s="17" t="n"/>
      <c r="H41" s="17" t="n"/>
      <c r="I41" s="17" t="n"/>
      <c r="J41" s="17" t="n"/>
      <c r="K41" s="17" t="n"/>
      <c r="L41" s="31" t="n"/>
      <c r="M41" s="32">
        <f>IF(A41="","",IF(F41="No",3,IF(F41="Unknown",2,0))+IF(G41="Yes",3,IF(G41="Unknown",2,0))+IF(H41="Yes",1,0)+IF(N(I41)&gt;5,1,0))</f>
        <v/>
      </c>
      <c r="N41" s="32">
        <f>IF(OR(M41="",J41=""),"",M41*J41)</f>
        <v/>
      </c>
      <c r="O41" s="32">
        <f>IF(OR(M41="",J41="",K41=""),"",IF(AND(K41&lt;=2,J41&lt;=2),"Retire or consolidate",IF(AND(M41&gt;=5,K41&gt;=3),"Modernize first (upgrade or replatform)",IF(M41&gt;=5,"Isolate and plan replacement",IF(K41&gt;=4,"Retain and invest","Retain and monitor")))))</f>
        <v/>
      </c>
      <c r="P41" s="17" t="n"/>
      <c r="Q41" s="17" t="n"/>
      <c r="R41" s="33" t="n"/>
      <c r="S41" s="17" t="n"/>
    </row>
    <row r="42">
      <c r="A42" s="17" t="n"/>
      <c r="B42" s="17" t="n"/>
      <c r="C42" s="17" t="n"/>
      <c r="D42" s="17" t="n"/>
      <c r="E42" s="17" t="n"/>
      <c r="F42" s="17" t="n"/>
      <c r="G42" s="17" t="n"/>
      <c r="H42" s="17" t="n"/>
      <c r="I42" s="17" t="n"/>
      <c r="J42" s="17" t="n"/>
      <c r="K42" s="17" t="n"/>
      <c r="L42" s="31" t="n"/>
      <c r="M42" s="32">
        <f>IF(A42="","",IF(F42="No",3,IF(F42="Unknown",2,0))+IF(G42="Yes",3,IF(G42="Unknown",2,0))+IF(H42="Yes",1,0)+IF(N(I42)&gt;5,1,0))</f>
        <v/>
      </c>
      <c r="N42" s="32">
        <f>IF(OR(M42="",J42=""),"",M42*J42)</f>
        <v/>
      </c>
      <c r="O42" s="32">
        <f>IF(OR(M42="",J42="",K42=""),"",IF(AND(K42&lt;=2,J42&lt;=2),"Retire or consolidate",IF(AND(M42&gt;=5,K42&gt;=3),"Modernize first (upgrade or replatform)",IF(M42&gt;=5,"Isolate and plan replacement",IF(K42&gt;=4,"Retain and invest","Retain and monitor")))))</f>
        <v/>
      </c>
      <c r="P42" s="17" t="n"/>
      <c r="Q42" s="17" t="n"/>
      <c r="R42" s="33" t="n"/>
      <c r="S42" s="17" t="n"/>
    </row>
    <row r="43">
      <c r="A43" s="17" t="n"/>
      <c r="B43" s="17" t="n"/>
      <c r="C43" s="17" t="n"/>
      <c r="D43" s="17" t="n"/>
      <c r="E43" s="17" t="n"/>
      <c r="F43" s="17" t="n"/>
      <c r="G43" s="17" t="n"/>
      <c r="H43" s="17" t="n"/>
      <c r="I43" s="17" t="n"/>
      <c r="J43" s="17" t="n"/>
      <c r="K43" s="17" t="n"/>
      <c r="L43" s="31" t="n"/>
      <c r="M43" s="32">
        <f>IF(A43="","",IF(F43="No",3,IF(F43="Unknown",2,0))+IF(G43="Yes",3,IF(G43="Unknown",2,0))+IF(H43="Yes",1,0)+IF(N(I43)&gt;5,1,0))</f>
        <v/>
      </c>
      <c r="N43" s="32">
        <f>IF(OR(M43="",J43=""),"",M43*J43)</f>
        <v/>
      </c>
      <c r="O43" s="32">
        <f>IF(OR(M43="",J43="",K43=""),"",IF(AND(K43&lt;=2,J43&lt;=2),"Retire or consolidate",IF(AND(M43&gt;=5,K43&gt;=3),"Modernize first (upgrade or replatform)",IF(M43&gt;=5,"Isolate and plan replacement",IF(K43&gt;=4,"Retain and invest","Retain and monitor")))))</f>
        <v/>
      </c>
      <c r="P43" s="17" t="n"/>
      <c r="Q43" s="17" t="n"/>
      <c r="R43" s="33" t="n"/>
      <c r="S43" s="17" t="n"/>
    </row>
    <row r="44">
      <c r="A44" s="17" t="n"/>
      <c r="B44" s="17" t="n"/>
      <c r="C44" s="17" t="n"/>
      <c r="D44" s="17" t="n"/>
      <c r="E44" s="17" t="n"/>
      <c r="F44" s="17" t="n"/>
      <c r="G44" s="17" t="n"/>
      <c r="H44" s="17" t="n"/>
      <c r="I44" s="17" t="n"/>
      <c r="J44" s="17" t="n"/>
      <c r="K44" s="17" t="n"/>
      <c r="L44" s="31" t="n"/>
      <c r="M44" s="32">
        <f>IF(A44="","",IF(F44="No",3,IF(F44="Unknown",2,0))+IF(G44="Yes",3,IF(G44="Unknown",2,0))+IF(H44="Yes",1,0)+IF(N(I44)&gt;5,1,0))</f>
        <v/>
      </c>
      <c r="N44" s="32">
        <f>IF(OR(M44="",J44=""),"",M44*J44)</f>
        <v/>
      </c>
      <c r="O44" s="32">
        <f>IF(OR(M44="",J44="",K44=""),"",IF(AND(K44&lt;=2,J44&lt;=2),"Retire or consolidate",IF(AND(M44&gt;=5,K44&gt;=3),"Modernize first (upgrade or replatform)",IF(M44&gt;=5,"Isolate and plan replacement",IF(K44&gt;=4,"Retain and invest","Retain and monitor")))))</f>
        <v/>
      </c>
      <c r="P44" s="17" t="n"/>
      <c r="Q44" s="17" t="n"/>
      <c r="R44" s="33" t="n"/>
      <c r="S44" s="17" t="n"/>
    </row>
    <row r="45">
      <c r="A45" s="17" t="n"/>
      <c r="B45" s="17" t="n"/>
      <c r="C45" s="17" t="n"/>
      <c r="D45" s="17" t="n"/>
      <c r="E45" s="17" t="n"/>
      <c r="F45" s="17" t="n"/>
      <c r="G45" s="17" t="n"/>
      <c r="H45" s="17" t="n"/>
      <c r="I45" s="17" t="n"/>
      <c r="J45" s="17" t="n"/>
      <c r="K45" s="17" t="n"/>
      <c r="L45" s="31" t="n"/>
      <c r="M45" s="32">
        <f>IF(A45="","",IF(F45="No",3,IF(F45="Unknown",2,0))+IF(G45="Yes",3,IF(G45="Unknown",2,0))+IF(H45="Yes",1,0)+IF(N(I45)&gt;5,1,0))</f>
        <v/>
      </c>
      <c r="N45" s="32">
        <f>IF(OR(M45="",J45=""),"",M45*J45)</f>
        <v/>
      </c>
      <c r="O45" s="32">
        <f>IF(OR(M45="",J45="",K45=""),"",IF(AND(K45&lt;=2,J45&lt;=2),"Retire or consolidate",IF(AND(M45&gt;=5,K45&gt;=3),"Modernize first (upgrade or replatform)",IF(M45&gt;=5,"Isolate and plan replacement",IF(K45&gt;=4,"Retain and invest","Retain and monitor")))))</f>
        <v/>
      </c>
      <c r="P45" s="17" t="n"/>
      <c r="Q45" s="17" t="n"/>
      <c r="R45" s="33" t="n"/>
      <c r="S45" s="17" t="n"/>
    </row>
    <row r="46">
      <c r="A46" s="17" t="n"/>
      <c r="B46" s="17" t="n"/>
      <c r="C46" s="17" t="n"/>
      <c r="D46" s="17" t="n"/>
      <c r="E46" s="17" t="n"/>
      <c r="F46" s="17" t="n"/>
      <c r="G46" s="17" t="n"/>
      <c r="H46" s="17" t="n"/>
      <c r="I46" s="17" t="n"/>
      <c r="J46" s="17" t="n"/>
      <c r="K46" s="17" t="n"/>
      <c r="L46" s="31" t="n"/>
      <c r="M46" s="32">
        <f>IF(A46="","",IF(F46="No",3,IF(F46="Unknown",2,0))+IF(G46="Yes",3,IF(G46="Unknown",2,0))+IF(H46="Yes",1,0)+IF(N(I46)&gt;5,1,0))</f>
        <v/>
      </c>
      <c r="N46" s="32">
        <f>IF(OR(M46="",J46=""),"",M46*J46)</f>
        <v/>
      </c>
      <c r="O46" s="32">
        <f>IF(OR(M46="",J46="",K46=""),"",IF(AND(K46&lt;=2,J46&lt;=2),"Retire or consolidate",IF(AND(M46&gt;=5,K46&gt;=3),"Modernize first (upgrade or replatform)",IF(M46&gt;=5,"Isolate and plan replacement",IF(K46&gt;=4,"Retain and invest","Retain and monitor")))))</f>
        <v/>
      </c>
      <c r="P46" s="17" t="n"/>
      <c r="Q46" s="17" t="n"/>
      <c r="R46" s="33" t="n"/>
      <c r="S46" s="17" t="n"/>
    </row>
    <row r="47">
      <c r="A47" s="17" t="n"/>
      <c r="B47" s="17" t="n"/>
      <c r="C47" s="17" t="n"/>
      <c r="D47" s="17" t="n"/>
      <c r="E47" s="17" t="n"/>
      <c r="F47" s="17" t="n"/>
      <c r="G47" s="17" t="n"/>
      <c r="H47" s="17" t="n"/>
      <c r="I47" s="17" t="n"/>
      <c r="J47" s="17" t="n"/>
      <c r="K47" s="17" t="n"/>
      <c r="L47" s="31" t="n"/>
      <c r="M47" s="32">
        <f>IF(A47="","",IF(F47="No",3,IF(F47="Unknown",2,0))+IF(G47="Yes",3,IF(G47="Unknown",2,0))+IF(H47="Yes",1,0)+IF(N(I47)&gt;5,1,0))</f>
        <v/>
      </c>
      <c r="N47" s="32">
        <f>IF(OR(M47="",J47=""),"",M47*J47)</f>
        <v/>
      </c>
      <c r="O47" s="32">
        <f>IF(OR(M47="",J47="",K47=""),"",IF(AND(K47&lt;=2,J47&lt;=2),"Retire or consolidate",IF(AND(M47&gt;=5,K47&gt;=3),"Modernize first (upgrade or replatform)",IF(M47&gt;=5,"Isolate and plan replacement",IF(K47&gt;=4,"Retain and invest","Retain and monitor")))))</f>
        <v/>
      </c>
      <c r="P47" s="17" t="n"/>
      <c r="Q47" s="17" t="n"/>
      <c r="R47" s="33" t="n"/>
      <c r="S47" s="17" t="n"/>
    </row>
    <row r="48">
      <c r="A48" s="17" t="n"/>
      <c r="B48" s="17" t="n"/>
      <c r="C48" s="17" t="n"/>
      <c r="D48" s="17" t="n"/>
      <c r="E48" s="17" t="n"/>
      <c r="F48" s="17" t="n"/>
      <c r="G48" s="17" t="n"/>
      <c r="H48" s="17" t="n"/>
      <c r="I48" s="17" t="n"/>
      <c r="J48" s="17" t="n"/>
      <c r="K48" s="17" t="n"/>
      <c r="L48" s="31" t="n"/>
      <c r="M48" s="32">
        <f>IF(A48="","",IF(F48="No",3,IF(F48="Unknown",2,0))+IF(G48="Yes",3,IF(G48="Unknown",2,0))+IF(H48="Yes",1,0)+IF(N(I48)&gt;5,1,0))</f>
        <v/>
      </c>
      <c r="N48" s="32">
        <f>IF(OR(M48="",J48=""),"",M48*J48)</f>
        <v/>
      </c>
      <c r="O48" s="32">
        <f>IF(OR(M48="",J48="",K48=""),"",IF(AND(K48&lt;=2,J48&lt;=2),"Retire or consolidate",IF(AND(M48&gt;=5,K48&gt;=3),"Modernize first (upgrade or replatform)",IF(M48&gt;=5,"Isolate and plan replacement",IF(K48&gt;=4,"Retain and invest","Retain and monitor")))))</f>
        <v/>
      </c>
      <c r="P48" s="17" t="n"/>
      <c r="Q48" s="17" t="n"/>
      <c r="R48" s="33" t="n"/>
      <c r="S48" s="17" t="n"/>
    </row>
    <row r="49">
      <c r="A49" s="17" t="n"/>
      <c r="B49" s="17" t="n"/>
      <c r="C49" s="17" t="n"/>
      <c r="D49" s="17" t="n"/>
      <c r="E49" s="17" t="n"/>
      <c r="F49" s="17" t="n"/>
      <c r="G49" s="17" t="n"/>
      <c r="H49" s="17" t="n"/>
      <c r="I49" s="17" t="n"/>
      <c r="J49" s="17" t="n"/>
      <c r="K49" s="17" t="n"/>
      <c r="L49" s="31" t="n"/>
      <c r="M49" s="32">
        <f>IF(A49="","",IF(F49="No",3,IF(F49="Unknown",2,0))+IF(G49="Yes",3,IF(G49="Unknown",2,0))+IF(H49="Yes",1,0)+IF(N(I49)&gt;5,1,0))</f>
        <v/>
      </c>
      <c r="N49" s="32">
        <f>IF(OR(M49="",J49=""),"",M49*J49)</f>
        <v/>
      </c>
      <c r="O49" s="32">
        <f>IF(OR(M49="",J49="",K49=""),"",IF(AND(K49&lt;=2,J49&lt;=2),"Retire or consolidate",IF(AND(M49&gt;=5,K49&gt;=3),"Modernize first (upgrade or replatform)",IF(M49&gt;=5,"Isolate and plan replacement",IF(K49&gt;=4,"Retain and invest","Retain and monitor")))))</f>
        <v/>
      </c>
      <c r="P49" s="17" t="n"/>
      <c r="Q49" s="17" t="n"/>
      <c r="R49" s="33" t="n"/>
      <c r="S49" s="17" t="n"/>
    </row>
    <row r="50">
      <c r="A50" s="17" t="n"/>
      <c r="B50" s="17" t="n"/>
      <c r="C50" s="17" t="n"/>
      <c r="D50" s="17" t="n"/>
      <c r="E50" s="17" t="n"/>
      <c r="F50" s="17" t="n"/>
      <c r="G50" s="17" t="n"/>
      <c r="H50" s="17" t="n"/>
      <c r="I50" s="17" t="n"/>
      <c r="J50" s="17" t="n"/>
      <c r="K50" s="17" t="n"/>
      <c r="L50" s="31" t="n"/>
      <c r="M50" s="32">
        <f>IF(A50="","",IF(F50="No",3,IF(F50="Unknown",2,0))+IF(G50="Yes",3,IF(G50="Unknown",2,0))+IF(H50="Yes",1,0)+IF(N(I50)&gt;5,1,0))</f>
        <v/>
      </c>
      <c r="N50" s="32">
        <f>IF(OR(M50="",J50=""),"",M50*J50)</f>
        <v/>
      </c>
      <c r="O50" s="32">
        <f>IF(OR(M50="",J50="",K50=""),"",IF(AND(K50&lt;=2,J50&lt;=2),"Retire or consolidate",IF(AND(M50&gt;=5,K50&gt;=3),"Modernize first (upgrade or replatform)",IF(M50&gt;=5,"Isolate and plan replacement",IF(K50&gt;=4,"Retain and invest","Retain and monitor")))))</f>
        <v/>
      </c>
      <c r="P50" s="17" t="n"/>
      <c r="Q50" s="17" t="n"/>
      <c r="R50" s="33" t="n"/>
      <c r="S50" s="17" t="n"/>
    </row>
    <row r="51">
      <c r="A51" s="17" t="n"/>
      <c r="B51" s="17" t="n"/>
      <c r="C51" s="17" t="n"/>
      <c r="D51" s="17" t="n"/>
      <c r="E51" s="17" t="n"/>
      <c r="F51" s="17" t="n"/>
      <c r="G51" s="17" t="n"/>
      <c r="H51" s="17" t="n"/>
      <c r="I51" s="17" t="n"/>
      <c r="J51" s="17" t="n"/>
      <c r="K51" s="17" t="n"/>
      <c r="L51" s="31" t="n"/>
      <c r="M51" s="32">
        <f>IF(A51="","",IF(F51="No",3,IF(F51="Unknown",2,0))+IF(G51="Yes",3,IF(G51="Unknown",2,0))+IF(H51="Yes",1,0)+IF(N(I51)&gt;5,1,0))</f>
        <v/>
      </c>
      <c r="N51" s="32">
        <f>IF(OR(M51="",J51=""),"",M51*J51)</f>
        <v/>
      </c>
      <c r="O51" s="32">
        <f>IF(OR(M51="",J51="",K51=""),"",IF(AND(K51&lt;=2,J51&lt;=2),"Retire or consolidate",IF(AND(M51&gt;=5,K51&gt;=3),"Modernize first (upgrade or replatform)",IF(M51&gt;=5,"Isolate and plan replacement",IF(K51&gt;=4,"Retain and invest","Retain and monitor")))))</f>
        <v/>
      </c>
      <c r="P51" s="17" t="n"/>
      <c r="Q51" s="17" t="n"/>
      <c r="R51" s="33" t="n"/>
      <c r="S51" s="17" t="n"/>
    </row>
    <row r="52">
      <c r="A52" s="17" t="n"/>
      <c r="B52" s="17" t="n"/>
      <c r="C52" s="17" t="n"/>
      <c r="D52" s="17" t="n"/>
      <c r="E52" s="17" t="n"/>
      <c r="F52" s="17" t="n"/>
      <c r="G52" s="17" t="n"/>
      <c r="H52" s="17" t="n"/>
      <c r="I52" s="17" t="n"/>
      <c r="J52" s="17" t="n"/>
      <c r="K52" s="17" t="n"/>
      <c r="L52" s="31" t="n"/>
      <c r="M52" s="32">
        <f>IF(A52="","",IF(F52="No",3,IF(F52="Unknown",2,0))+IF(G52="Yes",3,IF(G52="Unknown",2,0))+IF(H52="Yes",1,0)+IF(N(I52)&gt;5,1,0))</f>
        <v/>
      </c>
      <c r="N52" s="32">
        <f>IF(OR(M52="",J52=""),"",M52*J52)</f>
        <v/>
      </c>
      <c r="O52" s="32">
        <f>IF(OR(M52="",J52="",K52=""),"",IF(AND(K52&lt;=2,J52&lt;=2),"Retire or consolidate",IF(AND(M52&gt;=5,K52&gt;=3),"Modernize first (upgrade or replatform)",IF(M52&gt;=5,"Isolate and plan replacement",IF(K52&gt;=4,"Retain and invest","Retain and monitor")))))</f>
        <v/>
      </c>
      <c r="P52" s="17" t="n"/>
      <c r="Q52" s="17" t="n"/>
      <c r="R52" s="33" t="n"/>
      <c r="S52" s="17" t="n"/>
    </row>
    <row r="53">
      <c r="A53" s="17" t="n"/>
      <c r="B53" s="17" t="n"/>
      <c r="C53" s="17" t="n"/>
      <c r="D53" s="17" t="n"/>
      <c r="E53" s="17" t="n"/>
      <c r="F53" s="17" t="n"/>
      <c r="G53" s="17" t="n"/>
      <c r="H53" s="17" t="n"/>
      <c r="I53" s="17" t="n"/>
      <c r="J53" s="17" t="n"/>
      <c r="K53" s="17" t="n"/>
      <c r="L53" s="31" t="n"/>
      <c r="M53" s="32">
        <f>IF(A53="","",IF(F53="No",3,IF(F53="Unknown",2,0))+IF(G53="Yes",3,IF(G53="Unknown",2,0))+IF(H53="Yes",1,0)+IF(N(I53)&gt;5,1,0))</f>
        <v/>
      </c>
      <c r="N53" s="32">
        <f>IF(OR(M53="",J53=""),"",M53*J53)</f>
        <v/>
      </c>
      <c r="O53" s="32">
        <f>IF(OR(M53="",J53="",K53=""),"",IF(AND(K53&lt;=2,J53&lt;=2),"Retire or consolidate",IF(AND(M53&gt;=5,K53&gt;=3),"Modernize first (upgrade or replatform)",IF(M53&gt;=5,"Isolate and plan replacement",IF(K53&gt;=4,"Retain and invest","Retain and monitor")))))</f>
        <v/>
      </c>
      <c r="P53" s="17" t="n"/>
      <c r="Q53" s="17" t="n"/>
      <c r="R53" s="33" t="n"/>
      <c r="S53" s="17" t="n"/>
    </row>
    <row r="54">
      <c r="A54" s="17" t="n"/>
      <c r="B54" s="17" t="n"/>
      <c r="C54" s="17" t="n"/>
      <c r="D54" s="17" t="n"/>
      <c r="E54" s="17" t="n"/>
      <c r="F54" s="17" t="n"/>
      <c r="G54" s="17" t="n"/>
      <c r="H54" s="17" t="n"/>
      <c r="I54" s="17" t="n"/>
      <c r="J54" s="17" t="n"/>
      <c r="K54" s="17" t="n"/>
      <c r="L54" s="31" t="n"/>
      <c r="M54" s="32">
        <f>IF(A54="","",IF(F54="No",3,IF(F54="Unknown",2,0))+IF(G54="Yes",3,IF(G54="Unknown",2,0))+IF(H54="Yes",1,0)+IF(N(I54)&gt;5,1,0))</f>
        <v/>
      </c>
      <c r="N54" s="32">
        <f>IF(OR(M54="",J54=""),"",M54*J54)</f>
        <v/>
      </c>
      <c r="O54" s="32">
        <f>IF(OR(M54="",J54="",K54=""),"",IF(AND(K54&lt;=2,J54&lt;=2),"Retire or consolidate",IF(AND(M54&gt;=5,K54&gt;=3),"Modernize first (upgrade or replatform)",IF(M54&gt;=5,"Isolate and plan replacement",IF(K54&gt;=4,"Retain and invest","Retain and monitor")))))</f>
        <v/>
      </c>
      <c r="P54" s="17" t="n"/>
      <c r="Q54" s="17" t="n"/>
      <c r="R54" s="33" t="n"/>
      <c r="S54" s="17" t="n"/>
    </row>
    <row r="55">
      <c r="A55" s="17" t="n"/>
      <c r="B55" s="17" t="n"/>
      <c r="C55" s="17" t="n"/>
      <c r="D55" s="17" t="n"/>
      <c r="E55" s="17" t="n"/>
      <c r="F55" s="17" t="n"/>
      <c r="G55" s="17" t="n"/>
      <c r="H55" s="17" t="n"/>
      <c r="I55" s="17" t="n"/>
      <c r="J55" s="17" t="n"/>
      <c r="K55" s="17" t="n"/>
      <c r="L55" s="31" t="n"/>
      <c r="M55" s="32">
        <f>IF(A55="","",IF(F55="No",3,IF(F55="Unknown",2,0))+IF(G55="Yes",3,IF(G55="Unknown",2,0))+IF(H55="Yes",1,0)+IF(N(I55)&gt;5,1,0))</f>
        <v/>
      </c>
      <c r="N55" s="32">
        <f>IF(OR(M55="",J55=""),"",M55*J55)</f>
        <v/>
      </c>
      <c r="O55" s="32">
        <f>IF(OR(M55="",J55="",K55=""),"",IF(AND(K55&lt;=2,J55&lt;=2),"Retire or consolidate",IF(AND(M55&gt;=5,K55&gt;=3),"Modernize first (upgrade or replatform)",IF(M55&gt;=5,"Isolate and plan replacement",IF(K55&gt;=4,"Retain and invest","Retain and monitor")))))</f>
        <v/>
      </c>
      <c r="P55" s="17" t="n"/>
      <c r="Q55" s="17" t="n"/>
      <c r="R55" s="33" t="n"/>
      <c r="S55" s="17" t="n"/>
    </row>
    <row r="56">
      <c r="A56" s="17" t="n"/>
      <c r="B56" s="17" t="n"/>
      <c r="C56" s="17" t="n"/>
      <c r="D56" s="17" t="n"/>
      <c r="E56" s="17" t="n"/>
      <c r="F56" s="17" t="n"/>
      <c r="G56" s="17" t="n"/>
      <c r="H56" s="17" t="n"/>
      <c r="I56" s="17" t="n"/>
      <c r="J56" s="17" t="n"/>
      <c r="K56" s="17" t="n"/>
      <c r="L56" s="31" t="n"/>
      <c r="M56" s="32">
        <f>IF(A56="","",IF(F56="No",3,IF(F56="Unknown",2,0))+IF(G56="Yes",3,IF(G56="Unknown",2,0))+IF(H56="Yes",1,0)+IF(N(I56)&gt;5,1,0))</f>
        <v/>
      </c>
      <c r="N56" s="32">
        <f>IF(OR(M56="",J56=""),"",M56*J56)</f>
        <v/>
      </c>
      <c r="O56" s="32">
        <f>IF(OR(M56="",J56="",K56=""),"",IF(AND(K56&lt;=2,J56&lt;=2),"Retire or consolidate",IF(AND(M56&gt;=5,K56&gt;=3),"Modernize first (upgrade or replatform)",IF(M56&gt;=5,"Isolate and plan replacement",IF(K56&gt;=4,"Retain and invest","Retain and monitor")))))</f>
        <v/>
      </c>
      <c r="P56" s="17" t="n"/>
      <c r="Q56" s="17" t="n"/>
      <c r="R56" s="33" t="n"/>
      <c r="S56" s="17" t="n"/>
    </row>
    <row r="57">
      <c r="A57" s="17" t="n"/>
      <c r="B57" s="17" t="n"/>
      <c r="C57" s="17" t="n"/>
      <c r="D57" s="17" t="n"/>
      <c r="E57" s="17" t="n"/>
      <c r="F57" s="17" t="n"/>
      <c r="G57" s="17" t="n"/>
      <c r="H57" s="17" t="n"/>
      <c r="I57" s="17" t="n"/>
      <c r="J57" s="17" t="n"/>
      <c r="K57" s="17" t="n"/>
      <c r="L57" s="31" t="n"/>
      <c r="M57" s="32">
        <f>IF(A57="","",IF(F57="No",3,IF(F57="Unknown",2,0))+IF(G57="Yes",3,IF(G57="Unknown",2,0))+IF(H57="Yes",1,0)+IF(N(I57)&gt;5,1,0))</f>
        <v/>
      </c>
      <c r="N57" s="32">
        <f>IF(OR(M57="",J57=""),"",M57*J57)</f>
        <v/>
      </c>
      <c r="O57" s="32">
        <f>IF(OR(M57="",J57="",K57=""),"",IF(AND(K57&lt;=2,J57&lt;=2),"Retire or consolidate",IF(AND(M57&gt;=5,K57&gt;=3),"Modernize first (upgrade or replatform)",IF(M57&gt;=5,"Isolate and plan replacement",IF(K57&gt;=4,"Retain and invest","Retain and monitor")))))</f>
        <v/>
      </c>
      <c r="P57" s="17" t="n"/>
      <c r="Q57" s="17" t="n"/>
      <c r="R57" s="33" t="n"/>
      <c r="S57" s="17" t="n"/>
    </row>
  </sheetData>
  <conditionalFormatting sqref="N6:N57">
    <cfRule type="cellIs" priority="1" operator="greaterThanOrEqual" dxfId="0">
      <formula>20</formula>
    </cfRule>
  </conditionalFormatting>
  <dataValidations count="5">
    <dataValidation sqref="D6:D57" showDropDown="0" showInputMessage="0" showErrorMessage="0" allowBlank="1" errorTitle="Invalid entry" error="Choose a value from the list." type="list">
      <formula1>=Lists!$E$2:$E$6</formula1>
    </dataValidation>
    <dataValidation sqref="F6:G57" showDropDown="0" showInputMessage="0" showErrorMessage="0" allowBlank="1" errorTitle="Invalid entry" error="Choose a value from the list." type="list">
      <formula1>=Lists!$C$2:$C$4</formula1>
    </dataValidation>
    <dataValidation sqref="H6:H57" showDropDown="0" showInputMessage="0" showErrorMessage="0" allowBlank="1" errorTitle="Invalid entry" error="Choose a value from the list." type="list">
      <formula1>=Lists!$D$2:$D$3</formula1>
    </dataValidation>
    <dataValidation sqref="J6:K57" showDropDown="0" showInputMessage="0" showErrorMessage="0" allowBlank="1" errorTitle="Invalid entry" error="Choose a value from the list." type="list">
      <formula1>=Lists!$K$2:$K$6</formula1>
    </dataValidation>
    <dataValidation sqref="P6:P57" showDropDown="0" showInputMessage="0" showErrorMessage="0" allowBlank="1" errorTitle="Invalid entry" error="Choose a value from the list." type="list">
      <formula1>=Lists!$F$2:$F$8</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48" customWidth="1" min="2" max="2"/>
    <col width="34" customWidth="1" min="3" max="3"/>
    <col width="16" customWidth="1" min="4" max="4"/>
    <col width="11" customWidth="1" min="5" max="5"/>
    <col width="11" customWidth="1" min="6" max="6"/>
    <col width="34" customWidth="1" min="7" max="7"/>
    <col width="26" customWidth="1" min="8" max="8"/>
  </cols>
  <sheetData>
    <row r="1">
      <c r="A1" s="1" t="inlineStr">
        <is>
          <t>License-Security Map</t>
        </is>
      </c>
    </row>
    <row r="2">
      <c r="A2" s="2" t="inlineStr">
        <is>
          <t>Security capabilities included in common Microsoft licenses, and whether you have deployed them.</t>
        </is>
      </c>
    </row>
    <row r="3">
      <c r="A3" s="34" t="inlineStr">
        <is>
          <t>Licensing contents and names change frequently. Verify each line against current Microsoft documentation and your agreement before acting. This sheet is not licensing or legal advice.</t>
        </is>
      </c>
    </row>
    <row r="5">
      <c r="A5" s="6" t="inlineStr">
        <is>
          <t>Security capability</t>
        </is>
      </c>
      <c r="B5" s="6" t="inlineStr">
        <is>
          <t>Typical Microsoft licensing (verify)</t>
        </is>
      </c>
      <c r="C5" s="6" t="inlineStr">
        <is>
          <t>HHS CPG supported</t>
        </is>
      </c>
      <c r="D5" s="6" t="inlineStr">
        <is>
          <t>Related questions</t>
        </is>
      </c>
      <c r="E5" s="6" t="inlineStr">
        <is>
          <t>Licensed?</t>
        </is>
      </c>
      <c r="F5" s="6" t="inlineStr">
        <is>
          <t>Deployed?</t>
        </is>
      </c>
      <c r="G5" s="6" t="inlineStr">
        <is>
          <t>Status</t>
        </is>
      </c>
      <c r="H5" s="6" t="inlineStr">
        <is>
          <t>Notes</t>
        </is>
      </c>
    </row>
    <row r="6" ht="28" customHeight="1">
      <c r="A6" s="15" t="inlineStr">
        <is>
          <t>Multifactor authentication and conditional access</t>
        </is>
      </c>
      <c r="B6" s="15" t="inlineStr">
        <is>
          <t>Microsoft Entra ID P1 (included in Microsoft 365 E3, E5 and Business Premium)</t>
        </is>
      </c>
      <c r="C6" s="15" t="inlineStr">
        <is>
          <t>Essential: Multifactor Authentication</t>
        </is>
      </c>
      <c r="D6" s="15" t="inlineStr">
        <is>
          <t>LO-14; ZT-01; ZT-07</t>
        </is>
      </c>
      <c r="E6" s="17" t="n"/>
      <c r="F6" s="17" t="n"/>
      <c r="G6" s="15">
        <f>IF(E6="","",IF(E6="Yes",IF(F6="Yes","Deployed",IF(F6="","Check deployment","Licensed but not fully deployed – quick win")),IF(E6="No","Not licensed – evaluate need","Confirm licensing")))</f>
        <v/>
      </c>
      <c r="H6" s="17" t="n"/>
    </row>
    <row r="7" ht="28" customHeight="1">
      <c r="A7" s="15" t="inlineStr">
        <is>
          <t>Risk-based conditional access and privileged identity management (just-in-time elevation)</t>
        </is>
      </c>
      <c r="B7" s="15" t="inlineStr">
        <is>
          <t>Microsoft Entra ID P2 (included in Microsoft 365 E5)</t>
        </is>
      </c>
      <c r="C7" s="15" t="inlineStr">
        <is>
          <t>Essential: Separate User and Privileged Accounts</t>
        </is>
      </c>
      <c r="D7" s="15" t="inlineStr">
        <is>
          <t>ZT-03</t>
        </is>
      </c>
      <c r="E7" s="17" t="n"/>
      <c r="F7" s="17" t="n"/>
      <c r="G7" s="15">
        <f>IF(E7="","",IF(E7="Yes",IF(F7="Yes","Deployed",IF(F7="","Check deployment","Licensed but not fully deployed – quick win")),IF(E7="No","Not licensed – evaluate need","Confirm licensing")))</f>
        <v/>
      </c>
      <c r="H7" s="17" t="n"/>
    </row>
    <row r="8" ht="28" customHeight="1">
      <c r="A8" s="15" t="inlineStr">
        <is>
          <t>Endpoint and device management, compliance and configuration baselines</t>
        </is>
      </c>
      <c r="B8" s="15" t="inlineStr">
        <is>
          <t>Microsoft Intune (included in Microsoft 365 E3, E5 and Business Premium)</t>
        </is>
      </c>
      <c r="C8" s="15" t="inlineStr">
        <is>
          <t>Enhanced: Configuration Management</t>
        </is>
      </c>
      <c r="D8" s="15" t="inlineStr">
        <is>
          <t>LO-15; ZT-07; ZT-08</t>
        </is>
      </c>
      <c r="E8" s="17" t="n"/>
      <c r="F8" s="17" t="n"/>
      <c r="G8" s="15">
        <f>IF(E8="","",IF(E8="Yes",IF(F8="Yes","Deployed",IF(F8="","Check deployment","Licensed but not fully deployed – quick win")),IF(E8="No","Not licensed – evaluate need","Confirm licensing")))</f>
        <v/>
      </c>
      <c r="H8" s="17" t="n"/>
    </row>
    <row r="9" ht="41" customHeight="1">
      <c r="A9" s="15" t="inlineStr">
        <is>
          <t>Endpoint protection, detection and response</t>
        </is>
      </c>
      <c r="B9" s="15" t="inlineStr">
        <is>
          <t>Microsoft Defender for Endpoint P1 (Microsoft 365 E3) or P2 (Microsoft 365 E5); Microsoft Defender for Business (Business Premium)</t>
        </is>
      </c>
      <c r="C9" s="15" t="inlineStr">
        <is>
          <t>Essential: Mitigate Known Vulnerabilities</t>
        </is>
      </c>
      <c r="D9" s="15" t="inlineStr">
        <is>
          <t>LO-15; ZT-06; ZT-21</t>
        </is>
      </c>
      <c r="E9" s="17" t="n"/>
      <c r="F9" s="17" t="n"/>
      <c r="G9" s="15">
        <f>IF(E9="","",IF(E9="Yes",IF(F9="Yes","Deployed",IF(F9="","Check deployment","Licensed but not fully deployed – quick win")),IF(E9="No","Not licensed – evaluate need","Confirm licensing")))</f>
        <v/>
      </c>
      <c r="H9" s="17" t="n"/>
    </row>
    <row r="10" ht="41" customHeight="1">
      <c r="A10" s="15" t="inlineStr">
        <is>
          <t>Email threat protection (anti-phishing, safe attachments and links)</t>
        </is>
      </c>
      <c r="B10" s="15" t="inlineStr">
        <is>
          <t>Exchange Online Protection (Exchange Online plans); Microsoft Defender for Office 365 P1 (Business Premium) or P2 (Microsoft 365 E5)</t>
        </is>
      </c>
      <c r="C10" s="15" t="inlineStr">
        <is>
          <t>Essential: Email Security</t>
        </is>
      </c>
      <c r="D10" s="15" t="inlineStr">
        <is>
          <t>LO-16; ZT-12</t>
        </is>
      </c>
      <c r="E10" s="17" t="n"/>
      <c r="F10" s="17" t="n"/>
      <c r="G10" s="15">
        <f>IF(E10="","",IF(E10="Yes",IF(F10="Yes","Deployed",IF(F10="","Check deployment","Licensed but not fully deployed – quick win")),IF(E10="No","Not licensed – evaluate need","Confirm licensing")))</f>
        <v/>
      </c>
      <c r="H10" s="17" t="n"/>
    </row>
    <row r="11" ht="28" customHeight="1">
      <c r="A11" s="15" t="inlineStr">
        <is>
          <t>Phishing simulation and security awareness training</t>
        </is>
      </c>
      <c r="B11" s="15" t="inlineStr">
        <is>
          <t>Attack simulation training (Microsoft Defender for Office 365 P2, included in Microsoft 365 E5)</t>
        </is>
      </c>
      <c r="C11" s="15" t="inlineStr">
        <is>
          <t>Essential: Basic Cybersecurity Training</t>
        </is>
      </c>
      <c r="D11" s="15" t="inlineStr">
        <is>
          <t>ZT-25</t>
        </is>
      </c>
      <c r="E11" s="17" t="n"/>
      <c r="F11" s="17" t="n"/>
      <c r="G11" s="15">
        <f>IF(E11="","",IF(E11="Yes",IF(F11="Yes","Deployed",IF(F11="","Check deployment","Licensed but not fully deployed – quick win")),IF(E11="No","Not licensed – evaluate need","Confirm licensing")))</f>
        <v/>
      </c>
      <c r="H11" s="17" t="n"/>
    </row>
    <row r="12" ht="15" customHeight="1">
      <c r="A12" s="15" t="inlineStr">
        <is>
          <t>Device encryption management (BitLocker)</t>
        </is>
      </c>
      <c r="B12" s="15" t="inlineStr">
        <is>
          <t>Windows Pro or Enterprise managed with Microsoft Intune</t>
        </is>
      </c>
      <c r="C12" s="15" t="inlineStr">
        <is>
          <t>Essential: Strong Encryption</t>
        </is>
      </c>
      <c r="D12" s="15" t="inlineStr">
        <is>
          <t>ZT-16</t>
        </is>
      </c>
      <c r="E12" s="17" t="n"/>
      <c r="F12" s="17" t="n"/>
      <c r="G12" s="15">
        <f>IF(E12="","",IF(E12="Yes",IF(F12="Yes","Deployed",IF(F12="","Check deployment","Licensed but not fully deployed – quick win")),IF(E12="No","Not licensed – evaluate need","Confirm licensing")))</f>
        <v/>
      </c>
      <c r="H12" s="17" t="n"/>
    </row>
    <row r="13" ht="41" customHeight="1">
      <c r="A13" s="15" t="inlineStr">
        <is>
          <t>Message encryption, sensitivity labels and data loss prevention</t>
        </is>
      </c>
      <c r="B13" s="15" t="inlineStr">
        <is>
          <t>Microsoft Purview capabilities (core features in Microsoft 365 E3 and Business Premium; advanced features in E5)</t>
        </is>
      </c>
      <c r="C13" s="15" t="inlineStr">
        <is>
          <t>Essential: Strong Encryption</t>
        </is>
      </c>
      <c r="D13" s="15" t="inlineStr">
        <is>
          <t>LO-16; ZT-17; ZT-18</t>
        </is>
      </c>
      <c r="E13" s="17" t="n"/>
      <c r="F13" s="17" t="n"/>
      <c r="G13" s="15">
        <f>IF(E13="","",IF(E13="Yes",IF(F13="Yes","Deployed",IF(F13="","Check deployment","Licensed but not fully deployed – quick win")),IF(E13="No","Not licensed – evaluate need","Confirm licensing")))</f>
        <v/>
      </c>
      <c r="H13" s="17" t="n"/>
    </row>
    <row r="14" ht="28" customHeight="1">
      <c r="A14" s="15" t="inlineStr">
        <is>
          <t>Audit logging</t>
        </is>
      </c>
      <c r="B14" s="15" t="inlineStr">
        <is>
          <t>Microsoft Purview Audit (Standard in most Microsoft 365 plans; Premium in E5)</t>
        </is>
      </c>
      <c r="C14" s="15" t="inlineStr">
        <is>
          <t>Enhanced: Centralized Log Collection</t>
        </is>
      </c>
      <c r="D14" s="15" t="inlineStr">
        <is>
          <t>ZT-20; ZT-22</t>
        </is>
      </c>
      <c r="E14" s="17" t="n"/>
      <c r="F14" s="17" t="n"/>
      <c r="G14" s="15">
        <f>IF(E14="","",IF(E14="Yes",IF(F14="Yes","Deployed",IF(F14="","Check deployment","Licensed but not fully deployed – quick win")),IF(E14="No","Not licensed – evaluate need","Confirm licensing")))</f>
        <v/>
      </c>
      <c r="H14" s="17" t="n"/>
    </row>
    <row r="15" ht="28" customHeight="1">
      <c r="A15" s="15" t="inlineStr">
        <is>
          <t>Identity threat detection for on-premises Active Directory</t>
        </is>
      </c>
      <c r="B15" s="15" t="inlineStr">
        <is>
          <t>Microsoft Defender for Identity (included in Microsoft 365 E5)</t>
        </is>
      </c>
      <c r="C15" s="15" t="inlineStr">
        <is>
          <t>Enhanced: Detect and Respond to Relevant Threats and TTPs</t>
        </is>
      </c>
      <c r="D15" s="15" t="inlineStr">
        <is>
          <t>ZT-21</t>
        </is>
      </c>
      <c r="E15" s="17" t="n"/>
      <c r="F15" s="17" t="n"/>
      <c r="G15" s="15">
        <f>IF(E15="","",IF(E15="Yes",IF(F15="Yes","Deployed",IF(F15="","Check deployment","Licensed but not fully deployed – quick win")),IF(E15="No","Not licensed – evaluate need","Confirm licensing")))</f>
        <v/>
      </c>
      <c r="H15" s="17" t="n"/>
    </row>
    <row r="16" ht="28" customHeight="1">
      <c r="A16" s="15" t="inlineStr">
        <is>
          <t>Discovery and control of cloud (SaaS) applications</t>
        </is>
      </c>
      <c r="B16" s="15" t="inlineStr">
        <is>
          <t>Microsoft Defender for Cloud Apps (included in Microsoft 365 E5)</t>
        </is>
      </c>
      <c r="C16" s="15" t="inlineStr">
        <is>
          <t>Enhanced: Asset Inventory</t>
        </is>
      </c>
      <c r="D16" s="15" t="inlineStr">
        <is>
          <t>LO-09; ZT-05</t>
        </is>
      </c>
      <c r="E16" s="17" t="n"/>
      <c r="F16" s="17" t="n"/>
      <c r="G16" s="15">
        <f>IF(E16="","",IF(E16="Yes",IF(F16="Yes","Deployed",IF(F16="","Check deployment","Licensed but not fully deployed – quick win")),IF(E16="No","Not licensed – evaluate need","Confirm licensing")))</f>
        <v/>
      </c>
      <c r="H16" s="17" t="n"/>
    </row>
    <row r="17" ht="28" customHeight="1">
      <c r="A17" s="15" t="inlineStr">
        <is>
          <t>Security information and event management (SIEM)</t>
        </is>
      </c>
      <c r="B17" s="15" t="inlineStr">
        <is>
          <t>Microsoft Sentinel (Azure service, consumption-based pricing)</t>
        </is>
      </c>
      <c r="C17" s="15" t="inlineStr">
        <is>
          <t>Enhanced: Centralized Log Collection</t>
        </is>
      </c>
      <c r="D17" s="15" t="inlineStr">
        <is>
          <t>ZT-20; ZT-21</t>
        </is>
      </c>
      <c r="E17" s="17" t="n"/>
      <c r="F17" s="17" t="n"/>
      <c r="G17" s="15">
        <f>IF(E17="","",IF(E17="Yes",IF(F17="Yes","Deployed",IF(F17="","Check deployment","Licensed but not fully deployed – quick win")),IF(E17="No","Not licensed – evaluate need","Confirm licensing")))</f>
        <v/>
      </c>
      <c r="H17" s="17" t="n"/>
    </row>
    <row r="18" ht="28" customHeight="1">
      <c r="A18" s="15" t="inlineStr">
        <is>
          <t>Security updates for Windows 10 after October 14, 2025</t>
        </is>
      </c>
      <c r="B18" s="15" t="inlineStr">
        <is>
          <t>Windows 10 Extended Security Updates (paid program; check current eligibility and terms)</t>
        </is>
      </c>
      <c r="C18" s="15" t="inlineStr">
        <is>
          <t>Essential: Mitigate Known Vulnerabilities</t>
        </is>
      </c>
      <c r="D18" s="15" t="inlineStr">
        <is>
          <t>AM-05; AM-06</t>
        </is>
      </c>
      <c r="E18" s="17" t="n"/>
      <c r="F18" s="17" t="n"/>
      <c r="G18" s="15">
        <f>IF(E18="","",IF(E18="Yes",IF(F18="Yes","Deployed",IF(F18="","Check deployment","Licensed but not fully deployed – quick win")),IF(E18="No","Not licensed – evaluate need","Confirm licensing")))</f>
        <v/>
      </c>
      <c r="H18" s="17" t="n"/>
    </row>
  </sheetData>
  <conditionalFormatting sqref="G6:G18">
    <cfRule type="expression" priority="1" dxfId="1">
      <formula>LEFT(G6,8)="Licensed"</formula>
    </cfRule>
  </conditionalFormatting>
  <dataValidations count="2">
    <dataValidation sqref="E6:E18" showDropDown="0" showInputMessage="0" showErrorMessage="0" allowBlank="1" errorTitle="Invalid entry" error="Choose a value from the list." type="list">
      <formula1>=Lists!$C$2:$C$4</formula1>
    </dataValidation>
    <dataValidation sqref="F6:F18" showDropDown="0" showInputMessage="0" showErrorMessage="0" allowBlank="1" errorTitle="Invalid entry" error="Choose a value from the list." type="list">
      <formula1>=Lists!$J$2:$J$4</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L77"/>
  <sheetViews>
    <sheetView workbookViewId="0">
      <selection activeCell="A1" sqref="A1"/>
    </sheetView>
  </sheetViews>
  <sheetFormatPr baseColWidth="8" defaultRowHeight="15"/>
  <sheetData>
    <row r="1">
      <c r="A1" t="inlineStr">
        <is>
          <t>Service</t>
        </is>
      </c>
      <c r="B1" t="inlineStr">
        <is>
          <t>ID</t>
        </is>
      </c>
      <c r="C1" t="inlineStr">
        <is>
          <t>Dimension</t>
        </is>
      </c>
      <c r="D1" t="inlineStr">
        <is>
          <t>Question</t>
        </is>
      </c>
      <c r="E1" t="inlineStr">
        <is>
          <t>Recommended action</t>
        </is>
      </c>
      <c r="F1" t="inlineStr">
        <is>
          <t>HHS CPG</t>
        </is>
      </c>
      <c r="G1" t="inlineStr">
        <is>
          <t>Score</t>
        </is>
      </c>
      <c r="H1" t="inlineStr">
        <is>
          <t>Weight applied</t>
        </is>
      </c>
      <c r="I1" t="inlineStr">
        <is>
          <t>Weighted score</t>
        </is>
      </c>
      <c r="J1" t="inlineStr">
        <is>
          <t>Gap points</t>
        </is>
      </c>
      <c r="K1" t="inlineStr">
        <is>
          <t>Rank key</t>
        </is>
      </c>
      <c r="L1" t="inlineStr">
        <is>
          <t>Weight</t>
        </is>
      </c>
    </row>
    <row r="2">
      <c r="A2" t="inlineStr">
        <is>
          <t>License Optimization</t>
        </is>
      </c>
      <c r="B2">
        <f>'License Optimization'!A5&amp;""</f>
        <v/>
      </c>
      <c r="C2">
        <f>'License Optimization'!B5&amp;""</f>
        <v/>
      </c>
      <c r="D2">
        <f>'License Optimization'!C5&amp;""</f>
        <v/>
      </c>
      <c r="E2">
        <f>'License Optimization'!K5&amp;""</f>
        <v/>
      </c>
      <c r="F2">
        <f>'License Optimization'!F5&amp;""</f>
        <v/>
      </c>
      <c r="G2">
        <f>'License Optimization'!L5</f>
        <v/>
      </c>
      <c r="H2">
        <f>'License Optimization'!N5</f>
        <v/>
      </c>
      <c r="I2">
        <f>'License Optimization'!M5</f>
        <v/>
      </c>
      <c r="J2">
        <f>'License Optimization'!O5</f>
        <v/>
      </c>
      <c r="K2">
        <f>J2+(1000-ROW())/100000</f>
        <v/>
      </c>
      <c r="L2">
        <f>'License Optimization'!H5</f>
        <v/>
      </c>
    </row>
    <row r="3">
      <c r="A3" t="inlineStr">
        <is>
          <t>License Optimization</t>
        </is>
      </c>
      <c r="B3">
        <f>'License Optimization'!A6&amp;""</f>
        <v/>
      </c>
      <c r="C3">
        <f>'License Optimization'!B6&amp;""</f>
        <v/>
      </c>
      <c r="D3">
        <f>'License Optimization'!C6&amp;""</f>
        <v/>
      </c>
      <c r="E3">
        <f>'License Optimization'!K6&amp;""</f>
        <v/>
      </c>
      <c r="F3">
        <f>'License Optimization'!F6&amp;""</f>
        <v/>
      </c>
      <c r="G3">
        <f>'License Optimization'!L6</f>
        <v/>
      </c>
      <c r="H3">
        <f>'License Optimization'!N6</f>
        <v/>
      </c>
      <c r="I3">
        <f>'License Optimization'!M6</f>
        <v/>
      </c>
      <c r="J3">
        <f>'License Optimization'!O6</f>
        <v/>
      </c>
      <c r="K3">
        <f>J3+(1000-ROW())/100000</f>
        <v/>
      </c>
      <c r="L3">
        <f>'License Optimization'!H6</f>
        <v/>
      </c>
    </row>
    <row r="4">
      <c r="A4" t="inlineStr">
        <is>
          <t>License Optimization</t>
        </is>
      </c>
      <c r="B4">
        <f>'License Optimization'!A7&amp;""</f>
        <v/>
      </c>
      <c r="C4">
        <f>'License Optimization'!B7&amp;""</f>
        <v/>
      </c>
      <c r="D4">
        <f>'License Optimization'!C7&amp;""</f>
        <v/>
      </c>
      <c r="E4">
        <f>'License Optimization'!K7&amp;""</f>
        <v/>
      </c>
      <c r="F4">
        <f>'License Optimization'!F7&amp;""</f>
        <v/>
      </c>
      <c r="G4">
        <f>'License Optimization'!L7</f>
        <v/>
      </c>
      <c r="H4">
        <f>'License Optimization'!N7</f>
        <v/>
      </c>
      <c r="I4">
        <f>'License Optimization'!M7</f>
        <v/>
      </c>
      <c r="J4">
        <f>'License Optimization'!O7</f>
        <v/>
      </c>
      <c r="K4">
        <f>J4+(1000-ROW())/100000</f>
        <v/>
      </c>
      <c r="L4">
        <f>'License Optimization'!H7</f>
        <v/>
      </c>
    </row>
    <row r="5">
      <c r="A5" t="inlineStr">
        <is>
          <t>License Optimization</t>
        </is>
      </c>
      <c r="B5">
        <f>'License Optimization'!A8&amp;""</f>
        <v/>
      </c>
      <c r="C5">
        <f>'License Optimization'!B8&amp;""</f>
        <v/>
      </c>
      <c r="D5">
        <f>'License Optimization'!C8&amp;""</f>
        <v/>
      </c>
      <c r="E5">
        <f>'License Optimization'!K8&amp;""</f>
        <v/>
      </c>
      <c r="F5">
        <f>'License Optimization'!F8&amp;""</f>
        <v/>
      </c>
      <c r="G5">
        <f>'License Optimization'!L8</f>
        <v/>
      </c>
      <c r="H5">
        <f>'License Optimization'!N8</f>
        <v/>
      </c>
      <c r="I5">
        <f>'License Optimization'!M8</f>
        <v/>
      </c>
      <c r="J5">
        <f>'License Optimization'!O8</f>
        <v/>
      </c>
      <c r="K5">
        <f>J5+(1000-ROW())/100000</f>
        <v/>
      </c>
      <c r="L5">
        <f>'License Optimization'!H8</f>
        <v/>
      </c>
    </row>
    <row r="6">
      <c r="A6" t="inlineStr">
        <is>
          <t>License Optimization</t>
        </is>
      </c>
      <c r="B6">
        <f>'License Optimization'!A9&amp;""</f>
        <v/>
      </c>
      <c r="C6">
        <f>'License Optimization'!B9&amp;""</f>
        <v/>
      </c>
      <c r="D6">
        <f>'License Optimization'!C9&amp;""</f>
        <v/>
      </c>
      <c r="E6">
        <f>'License Optimization'!K9&amp;""</f>
        <v/>
      </c>
      <c r="F6">
        <f>'License Optimization'!F9&amp;""</f>
        <v/>
      </c>
      <c r="G6">
        <f>'License Optimization'!L9</f>
        <v/>
      </c>
      <c r="H6">
        <f>'License Optimization'!N9</f>
        <v/>
      </c>
      <c r="I6">
        <f>'License Optimization'!M9</f>
        <v/>
      </c>
      <c r="J6">
        <f>'License Optimization'!O9</f>
        <v/>
      </c>
      <c r="K6">
        <f>J6+(1000-ROW())/100000</f>
        <v/>
      </c>
      <c r="L6">
        <f>'License Optimization'!H9</f>
        <v/>
      </c>
    </row>
    <row r="7">
      <c r="A7" t="inlineStr">
        <is>
          <t>License Optimization</t>
        </is>
      </c>
      <c r="B7">
        <f>'License Optimization'!A10&amp;""</f>
        <v/>
      </c>
      <c r="C7">
        <f>'License Optimization'!B10&amp;""</f>
        <v/>
      </c>
      <c r="D7">
        <f>'License Optimization'!C10&amp;""</f>
        <v/>
      </c>
      <c r="E7">
        <f>'License Optimization'!K10&amp;""</f>
        <v/>
      </c>
      <c r="F7">
        <f>'License Optimization'!F10&amp;""</f>
        <v/>
      </c>
      <c r="G7">
        <f>'License Optimization'!L10</f>
        <v/>
      </c>
      <c r="H7">
        <f>'License Optimization'!N10</f>
        <v/>
      </c>
      <c r="I7">
        <f>'License Optimization'!M10</f>
        <v/>
      </c>
      <c r="J7">
        <f>'License Optimization'!O10</f>
        <v/>
      </c>
      <c r="K7">
        <f>J7+(1000-ROW())/100000</f>
        <v/>
      </c>
      <c r="L7">
        <f>'License Optimization'!H10</f>
        <v/>
      </c>
    </row>
    <row r="8">
      <c r="A8" t="inlineStr">
        <is>
          <t>License Optimization</t>
        </is>
      </c>
      <c r="B8">
        <f>'License Optimization'!A11&amp;""</f>
        <v/>
      </c>
      <c r="C8">
        <f>'License Optimization'!B11&amp;""</f>
        <v/>
      </c>
      <c r="D8">
        <f>'License Optimization'!C11&amp;""</f>
        <v/>
      </c>
      <c r="E8">
        <f>'License Optimization'!K11&amp;""</f>
        <v/>
      </c>
      <c r="F8">
        <f>'License Optimization'!F11&amp;""</f>
        <v/>
      </c>
      <c r="G8">
        <f>'License Optimization'!L11</f>
        <v/>
      </c>
      <c r="H8">
        <f>'License Optimization'!N11</f>
        <v/>
      </c>
      <c r="I8">
        <f>'License Optimization'!M11</f>
        <v/>
      </c>
      <c r="J8">
        <f>'License Optimization'!O11</f>
        <v/>
      </c>
      <c r="K8">
        <f>J8+(1000-ROW())/100000</f>
        <v/>
      </c>
      <c r="L8">
        <f>'License Optimization'!H11</f>
        <v/>
      </c>
    </row>
    <row r="9">
      <c r="A9" t="inlineStr">
        <is>
          <t>License Optimization</t>
        </is>
      </c>
      <c r="B9">
        <f>'License Optimization'!A12&amp;""</f>
        <v/>
      </c>
      <c r="C9">
        <f>'License Optimization'!B12&amp;""</f>
        <v/>
      </c>
      <c r="D9">
        <f>'License Optimization'!C12&amp;""</f>
        <v/>
      </c>
      <c r="E9">
        <f>'License Optimization'!K12&amp;""</f>
        <v/>
      </c>
      <c r="F9">
        <f>'License Optimization'!F12&amp;""</f>
        <v/>
      </c>
      <c r="G9">
        <f>'License Optimization'!L12</f>
        <v/>
      </c>
      <c r="H9">
        <f>'License Optimization'!N12</f>
        <v/>
      </c>
      <c r="I9">
        <f>'License Optimization'!M12</f>
        <v/>
      </c>
      <c r="J9">
        <f>'License Optimization'!O12</f>
        <v/>
      </c>
      <c r="K9">
        <f>J9+(1000-ROW())/100000</f>
        <v/>
      </c>
      <c r="L9">
        <f>'License Optimization'!H12</f>
        <v/>
      </c>
    </row>
    <row r="10">
      <c r="A10" t="inlineStr">
        <is>
          <t>License Optimization</t>
        </is>
      </c>
      <c r="B10">
        <f>'License Optimization'!A13&amp;""</f>
        <v/>
      </c>
      <c r="C10">
        <f>'License Optimization'!B13&amp;""</f>
        <v/>
      </c>
      <c r="D10">
        <f>'License Optimization'!C13&amp;""</f>
        <v/>
      </c>
      <c r="E10">
        <f>'License Optimization'!K13&amp;""</f>
        <v/>
      </c>
      <c r="F10">
        <f>'License Optimization'!F13&amp;""</f>
        <v/>
      </c>
      <c r="G10">
        <f>'License Optimization'!L13</f>
        <v/>
      </c>
      <c r="H10">
        <f>'License Optimization'!N13</f>
        <v/>
      </c>
      <c r="I10">
        <f>'License Optimization'!M13</f>
        <v/>
      </c>
      <c r="J10">
        <f>'License Optimization'!O13</f>
        <v/>
      </c>
      <c r="K10">
        <f>J10+(1000-ROW())/100000</f>
        <v/>
      </c>
      <c r="L10">
        <f>'License Optimization'!H13</f>
        <v/>
      </c>
    </row>
    <row r="11">
      <c r="A11" t="inlineStr">
        <is>
          <t>License Optimization</t>
        </is>
      </c>
      <c r="B11">
        <f>'License Optimization'!A14&amp;""</f>
        <v/>
      </c>
      <c r="C11">
        <f>'License Optimization'!B14&amp;""</f>
        <v/>
      </c>
      <c r="D11">
        <f>'License Optimization'!C14&amp;""</f>
        <v/>
      </c>
      <c r="E11">
        <f>'License Optimization'!K14&amp;""</f>
        <v/>
      </c>
      <c r="F11">
        <f>'License Optimization'!F14&amp;""</f>
        <v/>
      </c>
      <c r="G11">
        <f>'License Optimization'!L14</f>
        <v/>
      </c>
      <c r="H11">
        <f>'License Optimization'!N14</f>
        <v/>
      </c>
      <c r="I11">
        <f>'License Optimization'!M14</f>
        <v/>
      </c>
      <c r="J11">
        <f>'License Optimization'!O14</f>
        <v/>
      </c>
      <c r="K11">
        <f>J11+(1000-ROW())/100000</f>
        <v/>
      </c>
      <c r="L11">
        <f>'License Optimization'!H14</f>
        <v/>
      </c>
    </row>
    <row r="12">
      <c r="A12" t="inlineStr">
        <is>
          <t>License Optimization</t>
        </is>
      </c>
      <c r="B12">
        <f>'License Optimization'!A15&amp;""</f>
        <v/>
      </c>
      <c r="C12">
        <f>'License Optimization'!B15&amp;""</f>
        <v/>
      </c>
      <c r="D12">
        <f>'License Optimization'!C15&amp;""</f>
        <v/>
      </c>
      <c r="E12">
        <f>'License Optimization'!K15&amp;""</f>
        <v/>
      </c>
      <c r="F12">
        <f>'License Optimization'!F15&amp;""</f>
        <v/>
      </c>
      <c r="G12">
        <f>'License Optimization'!L15</f>
        <v/>
      </c>
      <c r="H12">
        <f>'License Optimization'!N15</f>
        <v/>
      </c>
      <c r="I12">
        <f>'License Optimization'!M15</f>
        <v/>
      </c>
      <c r="J12">
        <f>'License Optimization'!O15</f>
        <v/>
      </c>
      <c r="K12">
        <f>J12+(1000-ROW())/100000</f>
        <v/>
      </c>
      <c r="L12">
        <f>'License Optimization'!H15</f>
        <v/>
      </c>
    </row>
    <row r="13">
      <c r="A13" t="inlineStr">
        <is>
          <t>License Optimization</t>
        </is>
      </c>
      <c r="B13">
        <f>'License Optimization'!A16&amp;""</f>
        <v/>
      </c>
      <c r="C13">
        <f>'License Optimization'!B16&amp;""</f>
        <v/>
      </c>
      <c r="D13">
        <f>'License Optimization'!C16&amp;""</f>
        <v/>
      </c>
      <c r="E13">
        <f>'License Optimization'!K16&amp;""</f>
        <v/>
      </c>
      <c r="F13">
        <f>'License Optimization'!F16&amp;""</f>
        <v/>
      </c>
      <c r="G13">
        <f>'License Optimization'!L16</f>
        <v/>
      </c>
      <c r="H13">
        <f>'License Optimization'!N16</f>
        <v/>
      </c>
      <c r="I13">
        <f>'License Optimization'!M16</f>
        <v/>
      </c>
      <c r="J13">
        <f>'License Optimization'!O16</f>
        <v/>
      </c>
      <c r="K13">
        <f>J13+(1000-ROW())/100000</f>
        <v/>
      </c>
      <c r="L13">
        <f>'License Optimization'!H16</f>
        <v/>
      </c>
    </row>
    <row r="14">
      <c r="A14" t="inlineStr">
        <is>
          <t>License Optimization</t>
        </is>
      </c>
      <c r="B14">
        <f>'License Optimization'!A17&amp;""</f>
        <v/>
      </c>
      <c r="C14">
        <f>'License Optimization'!B17&amp;""</f>
        <v/>
      </c>
      <c r="D14">
        <f>'License Optimization'!C17&amp;""</f>
        <v/>
      </c>
      <c r="E14">
        <f>'License Optimization'!K17&amp;""</f>
        <v/>
      </c>
      <c r="F14">
        <f>'License Optimization'!F17&amp;""</f>
        <v/>
      </c>
      <c r="G14">
        <f>'License Optimization'!L17</f>
        <v/>
      </c>
      <c r="H14">
        <f>'License Optimization'!N17</f>
        <v/>
      </c>
      <c r="I14">
        <f>'License Optimization'!M17</f>
        <v/>
      </c>
      <c r="J14">
        <f>'License Optimization'!O17</f>
        <v/>
      </c>
      <c r="K14">
        <f>J14+(1000-ROW())/100000</f>
        <v/>
      </c>
      <c r="L14">
        <f>'License Optimization'!H17</f>
        <v/>
      </c>
    </row>
    <row r="15">
      <c r="A15" t="inlineStr">
        <is>
          <t>License Optimization</t>
        </is>
      </c>
      <c r="B15">
        <f>'License Optimization'!A18&amp;""</f>
        <v/>
      </c>
      <c r="C15">
        <f>'License Optimization'!B18&amp;""</f>
        <v/>
      </c>
      <c r="D15">
        <f>'License Optimization'!C18&amp;""</f>
        <v/>
      </c>
      <c r="E15">
        <f>'License Optimization'!K18&amp;""</f>
        <v/>
      </c>
      <c r="F15">
        <f>'License Optimization'!F18&amp;""</f>
        <v/>
      </c>
      <c r="G15">
        <f>'License Optimization'!L18</f>
        <v/>
      </c>
      <c r="H15">
        <f>'License Optimization'!N18</f>
        <v/>
      </c>
      <c r="I15">
        <f>'License Optimization'!M18</f>
        <v/>
      </c>
      <c r="J15">
        <f>'License Optimization'!O18</f>
        <v/>
      </c>
      <c r="K15">
        <f>J15+(1000-ROW())/100000</f>
        <v/>
      </c>
      <c r="L15">
        <f>'License Optimization'!H18</f>
        <v/>
      </c>
    </row>
    <row r="16">
      <c r="A16" t="inlineStr">
        <is>
          <t>License Optimization</t>
        </is>
      </c>
      <c r="B16">
        <f>'License Optimization'!A19&amp;""</f>
        <v/>
      </c>
      <c r="C16">
        <f>'License Optimization'!B19&amp;""</f>
        <v/>
      </c>
      <c r="D16">
        <f>'License Optimization'!C19&amp;""</f>
        <v/>
      </c>
      <c r="E16">
        <f>'License Optimization'!K19&amp;""</f>
        <v/>
      </c>
      <c r="F16">
        <f>'License Optimization'!F19&amp;""</f>
        <v/>
      </c>
      <c r="G16">
        <f>'License Optimization'!L19</f>
        <v/>
      </c>
      <c r="H16">
        <f>'License Optimization'!N19</f>
        <v/>
      </c>
      <c r="I16">
        <f>'License Optimization'!M19</f>
        <v/>
      </c>
      <c r="J16">
        <f>'License Optimization'!O19</f>
        <v/>
      </c>
      <c r="K16">
        <f>J16+(1000-ROW())/100000</f>
        <v/>
      </c>
      <c r="L16">
        <f>'License Optimization'!H19</f>
        <v/>
      </c>
    </row>
    <row r="17">
      <c r="A17" t="inlineStr">
        <is>
          <t>License Optimization</t>
        </is>
      </c>
      <c r="B17">
        <f>'License Optimization'!A20&amp;""</f>
        <v/>
      </c>
      <c r="C17">
        <f>'License Optimization'!B20&amp;""</f>
        <v/>
      </c>
      <c r="D17">
        <f>'License Optimization'!C20&amp;""</f>
        <v/>
      </c>
      <c r="E17">
        <f>'License Optimization'!K20&amp;""</f>
        <v/>
      </c>
      <c r="F17">
        <f>'License Optimization'!F20&amp;""</f>
        <v/>
      </c>
      <c r="G17">
        <f>'License Optimization'!L20</f>
        <v/>
      </c>
      <c r="H17">
        <f>'License Optimization'!N20</f>
        <v/>
      </c>
      <c r="I17">
        <f>'License Optimization'!M20</f>
        <v/>
      </c>
      <c r="J17">
        <f>'License Optimization'!O20</f>
        <v/>
      </c>
      <c r="K17">
        <f>J17+(1000-ROW())/100000</f>
        <v/>
      </c>
      <c r="L17">
        <f>'License Optimization'!H20</f>
        <v/>
      </c>
    </row>
    <row r="18">
      <c r="A18" t="inlineStr">
        <is>
          <t>License Optimization</t>
        </is>
      </c>
      <c r="B18">
        <f>'License Optimization'!A21&amp;""</f>
        <v/>
      </c>
      <c r="C18">
        <f>'License Optimization'!B21&amp;""</f>
        <v/>
      </c>
      <c r="D18">
        <f>'License Optimization'!C21&amp;""</f>
        <v/>
      </c>
      <c r="E18">
        <f>'License Optimization'!K21&amp;""</f>
        <v/>
      </c>
      <c r="F18">
        <f>'License Optimization'!F21&amp;""</f>
        <v/>
      </c>
      <c r="G18">
        <f>'License Optimization'!L21</f>
        <v/>
      </c>
      <c r="H18">
        <f>'License Optimization'!N21</f>
        <v/>
      </c>
      <c r="I18">
        <f>'License Optimization'!M21</f>
        <v/>
      </c>
      <c r="J18">
        <f>'License Optimization'!O21</f>
        <v/>
      </c>
      <c r="K18">
        <f>J18+(1000-ROW())/100000</f>
        <v/>
      </c>
      <c r="L18">
        <f>'License Optimization'!H21</f>
        <v/>
      </c>
    </row>
    <row r="19">
      <c r="A19" t="inlineStr">
        <is>
          <t>License Optimization</t>
        </is>
      </c>
      <c r="B19">
        <f>'License Optimization'!A22&amp;""</f>
        <v/>
      </c>
      <c r="C19">
        <f>'License Optimization'!B22&amp;""</f>
        <v/>
      </c>
      <c r="D19">
        <f>'License Optimization'!C22&amp;""</f>
        <v/>
      </c>
      <c r="E19">
        <f>'License Optimization'!K22&amp;""</f>
        <v/>
      </c>
      <c r="F19">
        <f>'License Optimization'!F22&amp;""</f>
        <v/>
      </c>
      <c r="G19">
        <f>'License Optimization'!L22</f>
        <v/>
      </c>
      <c r="H19">
        <f>'License Optimization'!N22</f>
        <v/>
      </c>
      <c r="I19">
        <f>'License Optimization'!M22</f>
        <v/>
      </c>
      <c r="J19">
        <f>'License Optimization'!O22</f>
        <v/>
      </c>
      <c r="K19">
        <f>J19+(1000-ROW())/100000</f>
        <v/>
      </c>
      <c r="L19">
        <f>'License Optimization'!H22</f>
        <v/>
      </c>
    </row>
    <row r="20">
      <c r="A20" t="inlineStr">
        <is>
          <t>License Optimization</t>
        </is>
      </c>
      <c r="B20">
        <f>'License Optimization'!A23&amp;""</f>
        <v/>
      </c>
      <c r="C20">
        <f>'License Optimization'!B23&amp;""</f>
        <v/>
      </c>
      <c r="D20">
        <f>'License Optimization'!C23&amp;""</f>
        <v/>
      </c>
      <c r="E20">
        <f>'License Optimization'!K23&amp;""</f>
        <v/>
      </c>
      <c r="F20">
        <f>'License Optimization'!F23&amp;""</f>
        <v/>
      </c>
      <c r="G20">
        <f>'License Optimization'!L23</f>
        <v/>
      </c>
      <c r="H20">
        <f>'License Optimization'!N23</f>
        <v/>
      </c>
      <c r="I20">
        <f>'License Optimization'!M23</f>
        <v/>
      </c>
      <c r="J20">
        <f>'License Optimization'!O23</f>
        <v/>
      </c>
      <c r="K20">
        <f>J20+(1000-ROW())/100000</f>
        <v/>
      </c>
      <c r="L20">
        <f>'License Optimization'!H23</f>
        <v/>
      </c>
    </row>
    <row r="21">
      <c r="A21" t="inlineStr">
        <is>
          <t>License Optimization</t>
        </is>
      </c>
      <c r="B21">
        <f>'License Optimization'!A24&amp;""</f>
        <v/>
      </c>
      <c r="C21">
        <f>'License Optimization'!B24&amp;""</f>
        <v/>
      </c>
      <c r="D21">
        <f>'License Optimization'!C24&amp;""</f>
        <v/>
      </c>
      <c r="E21">
        <f>'License Optimization'!K24&amp;""</f>
        <v/>
      </c>
      <c r="F21">
        <f>'License Optimization'!F24&amp;""</f>
        <v/>
      </c>
      <c r="G21">
        <f>'License Optimization'!L24</f>
        <v/>
      </c>
      <c r="H21">
        <f>'License Optimization'!N24</f>
        <v/>
      </c>
      <c r="I21">
        <f>'License Optimization'!M24</f>
        <v/>
      </c>
      <c r="J21">
        <f>'License Optimization'!O24</f>
        <v/>
      </c>
      <c r="K21">
        <f>J21+(1000-ROW())/100000</f>
        <v/>
      </c>
      <c r="L21">
        <f>'License Optimization'!H24</f>
        <v/>
      </c>
    </row>
    <row r="22">
      <c r="A22" t="inlineStr">
        <is>
          <t>License Optimization</t>
        </is>
      </c>
      <c r="B22">
        <f>'License Optimization'!A25&amp;""</f>
        <v/>
      </c>
      <c r="C22">
        <f>'License Optimization'!B25&amp;""</f>
        <v/>
      </c>
      <c r="D22">
        <f>'License Optimization'!C25&amp;""</f>
        <v/>
      </c>
      <c r="E22">
        <f>'License Optimization'!K25&amp;""</f>
        <v/>
      </c>
      <c r="F22">
        <f>'License Optimization'!F25&amp;""</f>
        <v/>
      </c>
      <c r="G22">
        <f>'License Optimization'!L25</f>
        <v/>
      </c>
      <c r="H22">
        <f>'License Optimization'!N25</f>
        <v/>
      </c>
      <c r="I22">
        <f>'License Optimization'!M25</f>
        <v/>
      </c>
      <c r="J22">
        <f>'License Optimization'!O25</f>
        <v/>
      </c>
      <c r="K22">
        <f>J22+(1000-ROW())/100000</f>
        <v/>
      </c>
      <c r="L22">
        <f>'License Optimization'!H25</f>
        <v/>
      </c>
    </row>
    <row r="23">
      <c r="A23" t="inlineStr">
        <is>
          <t>License Optimization</t>
        </is>
      </c>
      <c r="B23">
        <f>'License Optimization'!A26&amp;""</f>
        <v/>
      </c>
      <c r="C23">
        <f>'License Optimization'!B26&amp;""</f>
        <v/>
      </c>
      <c r="D23">
        <f>'License Optimization'!C26&amp;""</f>
        <v/>
      </c>
      <c r="E23">
        <f>'License Optimization'!K26&amp;""</f>
        <v/>
      </c>
      <c r="F23">
        <f>'License Optimization'!F26&amp;""</f>
        <v/>
      </c>
      <c r="G23">
        <f>'License Optimization'!L26</f>
        <v/>
      </c>
      <c r="H23">
        <f>'License Optimization'!N26</f>
        <v/>
      </c>
      <c r="I23">
        <f>'License Optimization'!M26</f>
        <v/>
      </c>
      <c r="J23">
        <f>'License Optimization'!O26</f>
        <v/>
      </c>
      <c r="K23">
        <f>J23+(1000-ROW())/100000</f>
        <v/>
      </c>
      <c r="L23">
        <f>'License Optimization'!H26</f>
        <v/>
      </c>
    </row>
    <row r="24">
      <c r="A24" t="inlineStr">
        <is>
          <t>License Optimization</t>
        </is>
      </c>
      <c r="B24">
        <f>'License Optimization'!A27&amp;""</f>
        <v/>
      </c>
      <c r="C24">
        <f>'License Optimization'!B27&amp;""</f>
        <v/>
      </c>
      <c r="D24">
        <f>'License Optimization'!C27&amp;""</f>
        <v/>
      </c>
      <c r="E24">
        <f>'License Optimization'!K27&amp;""</f>
        <v/>
      </c>
      <c r="F24">
        <f>'License Optimization'!F27&amp;""</f>
        <v/>
      </c>
      <c r="G24">
        <f>'License Optimization'!L27</f>
        <v/>
      </c>
      <c r="H24">
        <f>'License Optimization'!N27</f>
        <v/>
      </c>
      <c r="I24">
        <f>'License Optimization'!M27</f>
        <v/>
      </c>
      <c r="J24">
        <f>'License Optimization'!O27</f>
        <v/>
      </c>
      <c r="K24">
        <f>J24+(1000-ROW())/100000</f>
        <v/>
      </c>
      <c r="L24">
        <f>'License Optimization'!H27</f>
        <v/>
      </c>
    </row>
    <row r="25">
      <c r="A25" t="inlineStr">
        <is>
          <t>License Optimization</t>
        </is>
      </c>
      <c r="B25">
        <f>'License Optimization'!A28&amp;""</f>
        <v/>
      </c>
      <c r="C25">
        <f>'License Optimization'!B28&amp;""</f>
        <v/>
      </c>
      <c r="D25">
        <f>'License Optimization'!C28&amp;""</f>
        <v/>
      </c>
      <c r="E25">
        <f>'License Optimization'!K28&amp;""</f>
        <v/>
      </c>
      <c r="F25">
        <f>'License Optimization'!F28&amp;""</f>
        <v/>
      </c>
      <c r="G25">
        <f>'License Optimization'!L28</f>
        <v/>
      </c>
      <c r="H25">
        <f>'License Optimization'!N28</f>
        <v/>
      </c>
      <c r="I25">
        <f>'License Optimization'!M28</f>
        <v/>
      </c>
      <c r="J25">
        <f>'License Optimization'!O28</f>
        <v/>
      </c>
      <c r="K25">
        <f>J25+(1000-ROW())/100000</f>
        <v/>
      </c>
      <c r="L25">
        <f>'License Optimization'!H28</f>
        <v/>
      </c>
    </row>
    <row r="26">
      <c r="A26" t="inlineStr">
        <is>
          <t>App Modernization</t>
        </is>
      </c>
      <c r="B26">
        <f>'App Modernization'!A5&amp;""</f>
        <v/>
      </c>
      <c r="C26">
        <f>'App Modernization'!B5&amp;""</f>
        <v/>
      </c>
      <c r="D26">
        <f>'App Modernization'!C5&amp;""</f>
        <v/>
      </c>
      <c r="E26">
        <f>'App Modernization'!K5&amp;""</f>
        <v/>
      </c>
      <c r="F26">
        <f>'App Modernization'!F5&amp;""</f>
        <v/>
      </c>
      <c r="G26">
        <f>'App Modernization'!L5</f>
        <v/>
      </c>
      <c r="H26">
        <f>'App Modernization'!N5</f>
        <v/>
      </c>
      <c r="I26">
        <f>'App Modernization'!M5</f>
        <v/>
      </c>
      <c r="J26">
        <f>'App Modernization'!O5</f>
        <v/>
      </c>
      <c r="K26">
        <f>J26+(1000-ROW())/100000</f>
        <v/>
      </c>
      <c r="L26">
        <f>'App Modernization'!H5</f>
        <v/>
      </c>
    </row>
    <row r="27">
      <c r="A27" t="inlineStr">
        <is>
          <t>App Modernization</t>
        </is>
      </c>
      <c r="B27">
        <f>'App Modernization'!A6&amp;""</f>
        <v/>
      </c>
      <c r="C27">
        <f>'App Modernization'!B6&amp;""</f>
        <v/>
      </c>
      <c r="D27">
        <f>'App Modernization'!C6&amp;""</f>
        <v/>
      </c>
      <c r="E27">
        <f>'App Modernization'!K6&amp;""</f>
        <v/>
      </c>
      <c r="F27">
        <f>'App Modernization'!F6&amp;""</f>
        <v/>
      </c>
      <c r="G27">
        <f>'App Modernization'!L6</f>
        <v/>
      </c>
      <c r="H27">
        <f>'App Modernization'!N6</f>
        <v/>
      </c>
      <c r="I27">
        <f>'App Modernization'!M6</f>
        <v/>
      </c>
      <c r="J27">
        <f>'App Modernization'!O6</f>
        <v/>
      </c>
      <c r="K27">
        <f>J27+(1000-ROW())/100000</f>
        <v/>
      </c>
      <c r="L27">
        <f>'App Modernization'!H6</f>
        <v/>
      </c>
    </row>
    <row r="28">
      <c r="A28" t="inlineStr">
        <is>
          <t>App Modernization</t>
        </is>
      </c>
      <c r="B28">
        <f>'App Modernization'!A7&amp;""</f>
        <v/>
      </c>
      <c r="C28">
        <f>'App Modernization'!B7&amp;""</f>
        <v/>
      </c>
      <c r="D28">
        <f>'App Modernization'!C7&amp;""</f>
        <v/>
      </c>
      <c r="E28">
        <f>'App Modernization'!K7&amp;""</f>
        <v/>
      </c>
      <c r="F28">
        <f>'App Modernization'!F7&amp;""</f>
        <v/>
      </c>
      <c r="G28">
        <f>'App Modernization'!L7</f>
        <v/>
      </c>
      <c r="H28">
        <f>'App Modernization'!N7</f>
        <v/>
      </c>
      <c r="I28">
        <f>'App Modernization'!M7</f>
        <v/>
      </c>
      <c r="J28">
        <f>'App Modernization'!O7</f>
        <v/>
      </c>
      <c r="K28">
        <f>J28+(1000-ROW())/100000</f>
        <v/>
      </c>
      <c r="L28">
        <f>'App Modernization'!H7</f>
        <v/>
      </c>
    </row>
    <row r="29">
      <c r="A29" t="inlineStr">
        <is>
          <t>App Modernization</t>
        </is>
      </c>
      <c r="B29">
        <f>'App Modernization'!A8&amp;""</f>
        <v/>
      </c>
      <c r="C29">
        <f>'App Modernization'!B8&amp;""</f>
        <v/>
      </c>
      <c r="D29">
        <f>'App Modernization'!C8&amp;""</f>
        <v/>
      </c>
      <c r="E29">
        <f>'App Modernization'!K8&amp;""</f>
        <v/>
      </c>
      <c r="F29">
        <f>'App Modernization'!F8&amp;""</f>
        <v/>
      </c>
      <c r="G29">
        <f>'App Modernization'!L8</f>
        <v/>
      </c>
      <c r="H29">
        <f>'App Modernization'!N8</f>
        <v/>
      </c>
      <c r="I29">
        <f>'App Modernization'!M8</f>
        <v/>
      </c>
      <c r="J29">
        <f>'App Modernization'!O8</f>
        <v/>
      </c>
      <c r="K29">
        <f>J29+(1000-ROW())/100000</f>
        <v/>
      </c>
      <c r="L29">
        <f>'App Modernization'!H8</f>
        <v/>
      </c>
    </row>
    <row r="30">
      <c r="A30" t="inlineStr">
        <is>
          <t>App Modernization</t>
        </is>
      </c>
      <c r="B30">
        <f>'App Modernization'!A9&amp;""</f>
        <v/>
      </c>
      <c r="C30">
        <f>'App Modernization'!B9&amp;""</f>
        <v/>
      </c>
      <c r="D30">
        <f>'App Modernization'!C9&amp;""</f>
        <v/>
      </c>
      <c r="E30">
        <f>'App Modernization'!K9&amp;""</f>
        <v/>
      </c>
      <c r="F30">
        <f>'App Modernization'!F9&amp;""</f>
        <v/>
      </c>
      <c r="G30">
        <f>'App Modernization'!L9</f>
        <v/>
      </c>
      <c r="H30">
        <f>'App Modernization'!N9</f>
        <v/>
      </c>
      <c r="I30">
        <f>'App Modernization'!M9</f>
        <v/>
      </c>
      <c r="J30">
        <f>'App Modernization'!O9</f>
        <v/>
      </c>
      <c r="K30">
        <f>J30+(1000-ROW())/100000</f>
        <v/>
      </c>
      <c r="L30">
        <f>'App Modernization'!H9</f>
        <v/>
      </c>
    </row>
    <row r="31">
      <c r="A31" t="inlineStr">
        <is>
          <t>App Modernization</t>
        </is>
      </c>
      <c r="B31">
        <f>'App Modernization'!A10&amp;""</f>
        <v/>
      </c>
      <c r="C31">
        <f>'App Modernization'!B10&amp;""</f>
        <v/>
      </c>
      <c r="D31">
        <f>'App Modernization'!C10&amp;""</f>
        <v/>
      </c>
      <c r="E31">
        <f>'App Modernization'!K10&amp;""</f>
        <v/>
      </c>
      <c r="F31">
        <f>'App Modernization'!F10&amp;""</f>
        <v/>
      </c>
      <c r="G31">
        <f>'App Modernization'!L10</f>
        <v/>
      </c>
      <c r="H31">
        <f>'App Modernization'!N10</f>
        <v/>
      </c>
      <c r="I31">
        <f>'App Modernization'!M10</f>
        <v/>
      </c>
      <c r="J31">
        <f>'App Modernization'!O10</f>
        <v/>
      </c>
      <c r="K31">
        <f>J31+(1000-ROW())/100000</f>
        <v/>
      </c>
      <c r="L31">
        <f>'App Modernization'!H10</f>
        <v/>
      </c>
    </row>
    <row r="32">
      <c r="A32" t="inlineStr">
        <is>
          <t>App Modernization</t>
        </is>
      </c>
      <c r="B32">
        <f>'App Modernization'!A11&amp;""</f>
        <v/>
      </c>
      <c r="C32">
        <f>'App Modernization'!B11&amp;""</f>
        <v/>
      </c>
      <c r="D32">
        <f>'App Modernization'!C11&amp;""</f>
        <v/>
      </c>
      <c r="E32">
        <f>'App Modernization'!K11&amp;""</f>
        <v/>
      </c>
      <c r="F32">
        <f>'App Modernization'!F11&amp;""</f>
        <v/>
      </c>
      <c r="G32">
        <f>'App Modernization'!L11</f>
        <v/>
      </c>
      <c r="H32">
        <f>'App Modernization'!N11</f>
        <v/>
      </c>
      <c r="I32">
        <f>'App Modernization'!M11</f>
        <v/>
      </c>
      <c r="J32">
        <f>'App Modernization'!O11</f>
        <v/>
      </c>
      <c r="K32">
        <f>J32+(1000-ROW())/100000</f>
        <v/>
      </c>
      <c r="L32">
        <f>'App Modernization'!H11</f>
        <v/>
      </c>
    </row>
    <row r="33">
      <c r="A33" t="inlineStr">
        <is>
          <t>App Modernization</t>
        </is>
      </c>
      <c r="B33">
        <f>'App Modernization'!A12&amp;""</f>
        <v/>
      </c>
      <c r="C33">
        <f>'App Modernization'!B12&amp;""</f>
        <v/>
      </c>
      <c r="D33">
        <f>'App Modernization'!C12&amp;""</f>
        <v/>
      </c>
      <c r="E33">
        <f>'App Modernization'!K12&amp;""</f>
        <v/>
      </c>
      <c r="F33">
        <f>'App Modernization'!F12&amp;""</f>
        <v/>
      </c>
      <c r="G33">
        <f>'App Modernization'!L12</f>
        <v/>
      </c>
      <c r="H33">
        <f>'App Modernization'!N12</f>
        <v/>
      </c>
      <c r="I33">
        <f>'App Modernization'!M12</f>
        <v/>
      </c>
      <c r="J33">
        <f>'App Modernization'!O12</f>
        <v/>
      </c>
      <c r="K33">
        <f>J33+(1000-ROW())/100000</f>
        <v/>
      </c>
      <c r="L33">
        <f>'App Modernization'!H12</f>
        <v/>
      </c>
    </row>
    <row r="34">
      <c r="A34" t="inlineStr">
        <is>
          <t>App Modernization</t>
        </is>
      </c>
      <c r="B34">
        <f>'App Modernization'!A13&amp;""</f>
        <v/>
      </c>
      <c r="C34">
        <f>'App Modernization'!B13&amp;""</f>
        <v/>
      </c>
      <c r="D34">
        <f>'App Modernization'!C13&amp;""</f>
        <v/>
      </c>
      <c r="E34">
        <f>'App Modernization'!K13&amp;""</f>
        <v/>
      </c>
      <c r="F34">
        <f>'App Modernization'!F13&amp;""</f>
        <v/>
      </c>
      <c r="G34">
        <f>'App Modernization'!L13</f>
        <v/>
      </c>
      <c r="H34">
        <f>'App Modernization'!N13</f>
        <v/>
      </c>
      <c r="I34">
        <f>'App Modernization'!M13</f>
        <v/>
      </c>
      <c r="J34">
        <f>'App Modernization'!O13</f>
        <v/>
      </c>
      <c r="K34">
        <f>J34+(1000-ROW())/100000</f>
        <v/>
      </c>
      <c r="L34">
        <f>'App Modernization'!H13</f>
        <v/>
      </c>
    </row>
    <row r="35">
      <c r="A35" t="inlineStr">
        <is>
          <t>App Modernization</t>
        </is>
      </c>
      <c r="B35">
        <f>'App Modernization'!A14&amp;""</f>
        <v/>
      </c>
      <c r="C35">
        <f>'App Modernization'!B14&amp;""</f>
        <v/>
      </c>
      <c r="D35">
        <f>'App Modernization'!C14&amp;""</f>
        <v/>
      </c>
      <c r="E35">
        <f>'App Modernization'!K14&amp;""</f>
        <v/>
      </c>
      <c r="F35">
        <f>'App Modernization'!F14&amp;""</f>
        <v/>
      </c>
      <c r="G35">
        <f>'App Modernization'!L14</f>
        <v/>
      </c>
      <c r="H35">
        <f>'App Modernization'!N14</f>
        <v/>
      </c>
      <c r="I35">
        <f>'App Modernization'!M14</f>
        <v/>
      </c>
      <c r="J35">
        <f>'App Modernization'!O14</f>
        <v/>
      </c>
      <c r="K35">
        <f>J35+(1000-ROW())/100000</f>
        <v/>
      </c>
      <c r="L35">
        <f>'App Modernization'!H14</f>
        <v/>
      </c>
    </row>
    <row r="36">
      <c r="A36" t="inlineStr">
        <is>
          <t>App Modernization</t>
        </is>
      </c>
      <c r="B36">
        <f>'App Modernization'!A15&amp;""</f>
        <v/>
      </c>
      <c r="C36">
        <f>'App Modernization'!B15&amp;""</f>
        <v/>
      </c>
      <c r="D36">
        <f>'App Modernization'!C15&amp;""</f>
        <v/>
      </c>
      <c r="E36">
        <f>'App Modernization'!K15&amp;""</f>
        <v/>
      </c>
      <c r="F36">
        <f>'App Modernization'!F15&amp;""</f>
        <v/>
      </c>
      <c r="G36">
        <f>'App Modernization'!L15</f>
        <v/>
      </c>
      <c r="H36">
        <f>'App Modernization'!N15</f>
        <v/>
      </c>
      <c r="I36">
        <f>'App Modernization'!M15</f>
        <v/>
      </c>
      <c r="J36">
        <f>'App Modernization'!O15</f>
        <v/>
      </c>
      <c r="K36">
        <f>J36+(1000-ROW())/100000</f>
        <v/>
      </c>
      <c r="L36">
        <f>'App Modernization'!H15</f>
        <v/>
      </c>
    </row>
    <row r="37">
      <c r="A37" t="inlineStr">
        <is>
          <t>App Modernization</t>
        </is>
      </c>
      <c r="B37">
        <f>'App Modernization'!A16&amp;""</f>
        <v/>
      </c>
      <c r="C37">
        <f>'App Modernization'!B16&amp;""</f>
        <v/>
      </c>
      <c r="D37">
        <f>'App Modernization'!C16&amp;""</f>
        <v/>
      </c>
      <c r="E37">
        <f>'App Modernization'!K16&amp;""</f>
        <v/>
      </c>
      <c r="F37">
        <f>'App Modernization'!F16&amp;""</f>
        <v/>
      </c>
      <c r="G37">
        <f>'App Modernization'!L16</f>
        <v/>
      </c>
      <c r="H37">
        <f>'App Modernization'!N16</f>
        <v/>
      </c>
      <c r="I37">
        <f>'App Modernization'!M16</f>
        <v/>
      </c>
      <c r="J37">
        <f>'App Modernization'!O16</f>
        <v/>
      </c>
      <c r="K37">
        <f>J37+(1000-ROW())/100000</f>
        <v/>
      </c>
      <c r="L37">
        <f>'App Modernization'!H16</f>
        <v/>
      </c>
    </row>
    <row r="38">
      <c r="A38" t="inlineStr">
        <is>
          <t>App Modernization</t>
        </is>
      </c>
      <c r="B38">
        <f>'App Modernization'!A17&amp;""</f>
        <v/>
      </c>
      <c r="C38">
        <f>'App Modernization'!B17&amp;""</f>
        <v/>
      </c>
      <c r="D38">
        <f>'App Modernization'!C17&amp;""</f>
        <v/>
      </c>
      <c r="E38">
        <f>'App Modernization'!K17&amp;""</f>
        <v/>
      </c>
      <c r="F38">
        <f>'App Modernization'!F17&amp;""</f>
        <v/>
      </c>
      <c r="G38">
        <f>'App Modernization'!L17</f>
        <v/>
      </c>
      <c r="H38">
        <f>'App Modernization'!N17</f>
        <v/>
      </c>
      <c r="I38">
        <f>'App Modernization'!M17</f>
        <v/>
      </c>
      <c r="J38">
        <f>'App Modernization'!O17</f>
        <v/>
      </c>
      <c r="K38">
        <f>J38+(1000-ROW())/100000</f>
        <v/>
      </c>
      <c r="L38">
        <f>'App Modernization'!H17</f>
        <v/>
      </c>
    </row>
    <row r="39">
      <c r="A39" t="inlineStr">
        <is>
          <t>App Modernization</t>
        </is>
      </c>
      <c r="B39">
        <f>'App Modernization'!A18&amp;""</f>
        <v/>
      </c>
      <c r="C39">
        <f>'App Modernization'!B18&amp;""</f>
        <v/>
      </c>
      <c r="D39">
        <f>'App Modernization'!C18&amp;""</f>
        <v/>
      </c>
      <c r="E39">
        <f>'App Modernization'!K18&amp;""</f>
        <v/>
      </c>
      <c r="F39">
        <f>'App Modernization'!F18&amp;""</f>
        <v/>
      </c>
      <c r="G39">
        <f>'App Modernization'!L18</f>
        <v/>
      </c>
      <c r="H39">
        <f>'App Modernization'!N18</f>
        <v/>
      </c>
      <c r="I39">
        <f>'App Modernization'!M18</f>
        <v/>
      </c>
      <c r="J39">
        <f>'App Modernization'!O18</f>
        <v/>
      </c>
      <c r="K39">
        <f>J39+(1000-ROW())/100000</f>
        <v/>
      </c>
      <c r="L39">
        <f>'App Modernization'!H18</f>
        <v/>
      </c>
    </row>
    <row r="40">
      <c r="A40" t="inlineStr">
        <is>
          <t>App Modernization</t>
        </is>
      </c>
      <c r="B40">
        <f>'App Modernization'!A19&amp;""</f>
        <v/>
      </c>
      <c r="C40">
        <f>'App Modernization'!B19&amp;""</f>
        <v/>
      </c>
      <c r="D40">
        <f>'App Modernization'!C19&amp;""</f>
        <v/>
      </c>
      <c r="E40">
        <f>'App Modernization'!K19&amp;""</f>
        <v/>
      </c>
      <c r="F40">
        <f>'App Modernization'!F19&amp;""</f>
        <v/>
      </c>
      <c r="G40">
        <f>'App Modernization'!L19</f>
        <v/>
      </c>
      <c r="H40">
        <f>'App Modernization'!N19</f>
        <v/>
      </c>
      <c r="I40">
        <f>'App Modernization'!M19</f>
        <v/>
      </c>
      <c r="J40">
        <f>'App Modernization'!O19</f>
        <v/>
      </c>
      <c r="K40">
        <f>J40+(1000-ROW())/100000</f>
        <v/>
      </c>
      <c r="L40">
        <f>'App Modernization'!H19</f>
        <v/>
      </c>
    </row>
    <row r="41">
      <c r="A41" t="inlineStr">
        <is>
          <t>App Modernization</t>
        </is>
      </c>
      <c r="B41">
        <f>'App Modernization'!A20&amp;""</f>
        <v/>
      </c>
      <c r="C41">
        <f>'App Modernization'!B20&amp;""</f>
        <v/>
      </c>
      <c r="D41">
        <f>'App Modernization'!C20&amp;""</f>
        <v/>
      </c>
      <c r="E41">
        <f>'App Modernization'!K20&amp;""</f>
        <v/>
      </c>
      <c r="F41">
        <f>'App Modernization'!F20&amp;""</f>
        <v/>
      </c>
      <c r="G41">
        <f>'App Modernization'!L20</f>
        <v/>
      </c>
      <c r="H41">
        <f>'App Modernization'!N20</f>
        <v/>
      </c>
      <c r="I41">
        <f>'App Modernization'!M20</f>
        <v/>
      </c>
      <c r="J41">
        <f>'App Modernization'!O20</f>
        <v/>
      </c>
      <c r="K41">
        <f>J41+(1000-ROW())/100000</f>
        <v/>
      </c>
      <c r="L41">
        <f>'App Modernization'!H20</f>
        <v/>
      </c>
    </row>
    <row r="42">
      <c r="A42" t="inlineStr">
        <is>
          <t>App Modernization</t>
        </is>
      </c>
      <c r="B42">
        <f>'App Modernization'!A21&amp;""</f>
        <v/>
      </c>
      <c r="C42">
        <f>'App Modernization'!B21&amp;""</f>
        <v/>
      </c>
      <c r="D42">
        <f>'App Modernization'!C21&amp;""</f>
        <v/>
      </c>
      <c r="E42">
        <f>'App Modernization'!K21&amp;""</f>
        <v/>
      </c>
      <c r="F42">
        <f>'App Modernization'!F21&amp;""</f>
        <v/>
      </c>
      <c r="G42">
        <f>'App Modernization'!L21</f>
        <v/>
      </c>
      <c r="H42">
        <f>'App Modernization'!N21</f>
        <v/>
      </c>
      <c r="I42">
        <f>'App Modernization'!M21</f>
        <v/>
      </c>
      <c r="J42">
        <f>'App Modernization'!O21</f>
        <v/>
      </c>
      <c r="K42">
        <f>J42+(1000-ROW())/100000</f>
        <v/>
      </c>
      <c r="L42">
        <f>'App Modernization'!H21</f>
        <v/>
      </c>
    </row>
    <row r="43">
      <c r="A43" t="inlineStr">
        <is>
          <t>App Modernization</t>
        </is>
      </c>
      <c r="B43">
        <f>'App Modernization'!A22&amp;""</f>
        <v/>
      </c>
      <c r="C43">
        <f>'App Modernization'!B22&amp;""</f>
        <v/>
      </c>
      <c r="D43">
        <f>'App Modernization'!C22&amp;""</f>
        <v/>
      </c>
      <c r="E43">
        <f>'App Modernization'!K22&amp;""</f>
        <v/>
      </c>
      <c r="F43">
        <f>'App Modernization'!F22&amp;""</f>
        <v/>
      </c>
      <c r="G43">
        <f>'App Modernization'!L22</f>
        <v/>
      </c>
      <c r="H43">
        <f>'App Modernization'!N22</f>
        <v/>
      </c>
      <c r="I43">
        <f>'App Modernization'!M22</f>
        <v/>
      </c>
      <c r="J43">
        <f>'App Modernization'!O22</f>
        <v/>
      </c>
      <c r="K43">
        <f>J43+(1000-ROW())/100000</f>
        <v/>
      </c>
      <c r="L43">
        <f>'App Modernization'!H22</f>
        <v/>
      </c>
    </row>
    <row r="44">
      <c r="A44" t="inlineStr">
        <is>
          <t>App Modernization</t>
        </is>
      </c>
      <c r="B44">
        <f>'App Modernization'!A23&amp;""</f>
        <v/>
      </c>
      <c r="C44">
        <f>'App Modernization'!B23&amp;""</f>
        <v/>
      </c>
      <c r="D44">
        <f>'App Modernization'!C23&amp;""</f>
        <v/>
      </c>
      <c r="E44">
        <f>'App Modernization'!K23&amp;""</f>
        <v/>
      </c>
      <c r="F44">
        <f>'App Modernization'!F23&amp;""</f>
        <v/>
      </c>
      <c r="G44">
        <f>'App Modernization'!L23</f>
        <v/>
      </c>
      <c r="H44">
        <f>'App Modernization'!N23</f>
        <v/>
      </c>
      <c r="I44">
        <f>'App Modernization'!M23</f>
        <v/>
      </c>
      <c r="J44">
        <f>'App Modernization'!O23</f>
        <v/>
      </c>
      <c r="K44">
        <f>J44+(1000-ROW())/100000</f>
        <v/>
      </c>
      <c r="L44">
        <f>'App Modernization'!H23</f>
        <v/>
      </c>
    </row>
    <row r="45">
      <c r="A45" t="inlineStr">
        <is>
          <t>App Modernization</t>
        </is>
      </c>
      <c r="B45">
        <f>'App Modernization'!A24&amp;""</f>
        <v/>
      </c>
      <c r="C45">
        <f>'App Modernization'!B24&amp;""</f>
        <v/>
      </c>
      <c r="D45">
        <f>'App Modernization'!C24&amp;""</f>
        <v/>
      </c>
      <c r="E45">
        <f>'App Modernization'!K24&amp;""</f>
        <v/>
      </c>
      <c r="F45">
        <f>'App Modernization'!F24&amp;""</f>
        <v/>
      </c>
      <c r="G45">
        <f>'App Modernization'!L24</f>
        <v/>
      </c>
      <c r="H45">
        <f>'App Modernization'!N24</f>
        <v/>
      </c>
      <c r="I45">
        <f>'App Modernization'!M24</f>
        <v/>
      </c>
      <c r="J45">
        <f>'App Modernization'!O24</f>
        <v/>
      </c>
      <c r="K45">
        <f>J45+(1000-ROW())/100000</f>
        <v/>
      </c>
      <c r="L45">
        <f>'App Modernization'!H24</f>
        <v/>
      </c>
    </row>
    <row r="46">
      <c r="A46" t="inlineStr">
        <is>
          <t>App Modernization</t>
        </is>
      </c>
      <c r="B46">
        <f>'App Modernization'!A25&amp;""</f>
        <v/>
      </c>
      <c r="C46">
        <f>'App Modernization'!B25&amp;""</f>
        <v/>
      </c>
      <c r="D46">
        <f>'App Modernization'!C25&amp;""</f>
        <v/>
      </c>
      <c r="E46">
        <f>'App Modernization'!K25&amp;""</f>
        <v/>
      </c>
      <c r="F46">
        <f>'App Modernization'!F25&amp;""</f>
        <v/>
      </c>
      <c r="G46">
        <f>'App Modernization'!L25</f>
        <v/>
      </c>
      <c r="H46">
        <f>'App Modernization'!N25</f>
        <v/>
      </c>
      <c r="I46">
        <f>'App Modernization'!M25</f>
        <v/>
      </c>
      <c r="J46">
        <f>'App Modernization'!O25</f>
        <v/>
      </c>
      <c r="K46">
        <f>J46+(1000-ROW())/100000</f>
        <v/>
      </c>
      <c r="L46">
        <f>'App Modernization'!H25</f>
        <v/>
      </c>
    </row>
    <row r="47">
      <c r="A47" t="inlineStr">
        <is>
          <t>App Modernization</t>
        </is>
      </c>
      <c r="B47">
        <f>'App Modernization'!A26&amp;""</f>
        <v/>
      </c>
      <c r="C47">
        <f>'App Modernization'!B26&amp;""</f>
        <v/>
      </c>
      <c r="D47">
        <f>'App Modernization'!C26&amp;""</f>
        <v/>
      </c>
      <c r="E47">
        <f>'App Modernization'!K26&amp;""</f>
        <v/>
      </c>
      <c r="F47">
        <f>'App Modernization'!F26&amp;""</f>
        <v/>
      </c>
      <c r="G47">
        <f>'App Modernization'!L26</f>
        <v/>
      </c>
      <c r="H47">
        <f>'App Modernization'!N26</f>
        <v/>
      </c>
      <c r="I47">
        <f>'App Modernization'!M26</f>
        <v/>
      </c>
      <c r="J47">
        <f>'App Modernization'!O26</f>
        <v/>
      </c>
      <c r="K47">
        <f>J47+(1000-ROW())/100000</f>
        <v/>
      </c>
      <c r="L47">
        <f>'App Modernization'!H26</f>
        <v/>
      </c>
    </row>
    <row r="48">
      <c r="A48" t="inlineStr">
        <is>
          <t>App Modernization</t>
        </is>
      </c>
      <c r="B48">
        <f>'App Modernization'!A27&amp;""</f>
        <v/>
      </c>
      <c r="C48">
        <f>'App Modernization'!B27&amp;""</f>
        <v/>
      </c>
      <c r="D48">
        <f>'App Modernization'!C27&amp;""</f>
        <v/>
      </c>
      <c r="E48">
        <f>'App Modernization'!K27&amp;""</f>
        <v/>
      </c>
      <c r="F48">
        <f>'App Modernization'!F27&amp;""</f>
        <v/>
      </c>
      <c r="G48">
        <f>'App Modernization'!L27</f>
        <v/>
      </c>
      <c r="H48">
        <f>'App Modernization'!N27</f>
        <v/>
      </c>
      <c r="I48">
        <f>'App Modernization'!M27</f>
        <v/>
      </c>
      <c r="J48">
        <f>'App Modernization'!O27</f>
        <v/>
      </c>
      <c r="K48">
        <f>J48+(1000-ROW())/100000</f>
        <v/>
      </c>
      <c r="L48">
        <f>'App Modernization'!H27</f>
        <v/>
      </c>
    </row>
    <row r="49">
      <c r="A49" t="inlineStr">
        <is>
          <t>App Modernization</t>
        </is>
      </c>
      <c r="B49">
        <f>'App Modernization'!A28&amp;""</f>
        <v/>
      </c>
      <c r="C49">
        <f>'App Modernization'!B28&amp;""</f>
        <v/>
      </c>
      <c r="D49">
        <f>'App Modernization'!C28&amp;""</f>
        <v/>
      </c>
      <c r="E49">
        <f>'App Modernization'!K28&amp;""</f>
        <v/>
      </c>
      <c r="F49">
        <f>'App Modernization'!F28&amp;""</f>
        <v/>
      </c>
      <c r="G49">
        <f>'App Modernization'!L28</f>
        <v/>
      </c>
      <c r="H49">
        <f>'App Modernization'!N28</f>
        <v/>
      </c>
      <c r="I49">
        <f>'App Modernization'!M28</f>
        <v/>
      </c>
      <c r="J49">
        <f>'App Modernization'!O28</f>
        <v/>
      </c>
      <c r="K49">
        <f>J49+(1000-ROW())/100000</f>
        <v/>
      </c>
      <c r="L49">
        <f>'App Modernization'!H28</f>
        <v/>
      </c>
    </row>
    <row r="50">
      <c r="A50" t="inlineStr">
        <is>
          <t>Zero Trust</t>
        </is>
      </c>
      <c r="B50">
        <f>'Zero Trust'!A5&amp;""</f>
        <v/>
      </c>
      <c r="C50">
        <f>'Zero Trust'!B5&amp;""</f>
        <v/>
      </c>
      <c r="D50">
        <f>'Zero Trust'!C5&amp;""</f>
        <v/>
      </c>
      <c r="E50">
        <f>'Zero Trust'!K5&amp;""</f>
        <v/>
      </c>
      <c r="F50">
        <f>'Zero Trust'!F5&amp;""</f>
        <v/>
      </c>
      <c r="G50">
        <f>'Zero Trust'!L5</f>
        <v/>
      </c>
      <c r="H50">
        <f>'Zero Trust'!N5</f>
        <v/>
      </c>
      <c r="I50">
        <f>'Zero Trust'!M5</f>
        <v/>
      </c>
      <c r="J50">
        <f>'Zero Trust'!O5</f>
        <v/>
      </c>
      <c r="K50">
        <f>J50+(1000-ROW())/100000</f>
        <v/>
      </c>
      <c r="L50">
        <f>'Zero Trust'!H5</f>
        <v/>
      </c>
    </row>
    <row r="51">
      <c r="A51" t="inlineStr">
        <is>
          <t>Zero Trust</t>
        </is>
      </c>
      <c r="B51">
        <f>'Zero Trust'!A6&amp;""</f>
        <v/>
      </c>
      <c r="C51">
        <f>'Zero Trust'!B6&amp;""</f>
        <v/>
      </c>
      <c r="D51">
        <f>'Zero Trust'!C6&amp;""</f>
        <v/>
      </c>
      <c r="E51">
        <f>'Zero Trust'!K6&amp;""</f>
        <v/>
      </c>
      <c r="F51">
        <f>'Zero Trust'!F6&amp;""</f>
        <v/>
      </c>
      <c r="G51">
        <f>'Zero Trust'!L6</f>
        <v/>
      </c>
      <c r="H51">
        <f>'Zero Trust'!N6</f>
        <v/>
      </c>
      <c r="I51">
        <f>'Zero Trust'!M6</f>
        <v/>
      </c>
      <c r="J51">
        <f>'Zero Trust'!O6</f>
        <v/>
      </c>
      <c r="K51">
        <f>J51+(1000-ROW())/100000</f>
        <v/>
      </c>
      <c r="L51">
        <f>'Zero Trust'!H6</f>
        <v/>
      </c>
    </row>
    <row r="52">
      <c r="A52" t="inlineStr">
        <is>
          <t>Zero Trust</t>
        </is>
      </c>
      <c r="B52">
        <f>'Zero Trust'!A7&amp;""</f>
        <v/>
      </c>
      <c r="C52">
        <f>'Zero Trust'!B7&amp;""</f>
        <v/>
      </c>
      <c r="D52">
        <f>'Zero Trust'!C7&amp;""</f>
        <v/>
      </c>
      <c r="E52">
        <f>'Zero Trust'!K7&amp;""</f>
        <v/>
      </c>
      <c r="F52">
        <f>'Zero Trust'!F7&amp;""</f>
        <v/>
      </c>
      <c r="G52">
        <f>'Zero Trust'!L7</f>
        <v/>
      </c>
      <c r="H52">
        <f>'Zero Trust'!N7</f>
        <v/>
      </c>
      <c r="I52">
        <f>'Zero Trust'!M7</f>
        <v/>
      </c>
      <c r="J52">
        <f>'Zero Trust'!O7</f>
        <v/>
      </c>
      <c r="K52">
        <f>J52+(1000-ROW())/100000</f>
        <v/>
      </c>
      <c r="L52">
        <f>'Zero Trust'!H7</f>
        <v/>
      </c>
    </row>
    <row r="53">
      <c r="A53" t="inlineStr">
        <is>
          <t>Zero Trust</t>
        </is>
      </c>
      <c r="B53">
        <f>'Zero Trust'!A8&amp;""</f>
        <v/>
      </c>
      <c r="C53">
        <f>'Zero Trust'!B8&amp;""</f>
        <v/>
      </c>
      <c r="D53">
        <f>'Zero Trust'!C8&amp;""</f>
        <v/>
      </c>
      <c r="E53">
        <f>'Zero Trust'!K8&amp;""</f>
        <v/>
      </c>
      <c r="F53">
        <f>'Zero Trust'!F8&amp;""</f>
        <v/>
      </c>
      <c r="G53">
        <f>'Zero Trust'!L8</f>
        <v/>
      </c>
      <c r="H53">
        <f>'Zero Trust'!N8</f>
        <v/>
      </c>
      <c r="I53">
        <f>'Zero Trust'!M8</f>
        <v/>
      </c>
      <c r="J53">
        <f>'Zero Trust'!O8</f>
        <v/>
      </c>
      <c r="K53">
        <f>J53+(1000-ROW())/100000</f>
        <v/>
      </c>
      <c r="L53">
        <f>'Zero Trust'!H8</f>
        <v/>
      </c>
    </row>
    <row r="54">
      <c r="A54" t="inlineStr">
        <is>
          <t>Zero Trust</t>
        </is>
      </c>
      <c r="B54">
        <f>'Zero Trust'!A9&amp;""</f>
        <v/>
      </c>
      <c r="C54">
        <f>'Zero Trust'!B9&amp;""</f>
        <v/>
      </c>
      <c r="D54">
        <f>'Zero Trust'!C9&amp;""</f>
        <v/>
      </c>
      <c r="E54">
        <f>'Zero Trust'!K9&amp;""</f>
        <v/>
      </c>
      <c r="F54">
        <f>'Zero Trust'!F9&amp;""</f>
        <v/>
      </c>
      <c r="G54">
        <f>'Zero Trust'!L9</f>
        <v/>
      </c>
      <c r="H54">
        <f>'Zero Trust'!N9</f>
        <v/>
      </c>
      <c r="I54">
        <f>'Zero Trust'!M9</f>
        <v/>
      </c>
      <c r="J54">
        <f>'Zero Trust'!O9</f>
        <v/>
      </c>
      <c r="K54">
        <f>J54+(1000-ROW())/100000</f>
        <v/>
      </c>
      <c r="L54">
        <f>'Zero Trust'!H9</f>
        <v/>
      </c>
    </row>
    <row r="55">
      <c r="A55" t="inlineStr">
        <is>
          <t>Zero Trust</t>
        </is>
      </c>
      <c r="B55">
        <f>'Zero Trust'!A10&amp;""</f>
        <v/>
      </c>
      <c r="C55">
        <f>'Zero Trust'!B10&amp;""</f>
        <v/>
      </c>
      <c r="D55">
        <f>'Zero Trust'!C10&amp;""</f>
        <v/>
      </c>
      <c r="E55">
        <f>'Zero Trust'!K10&amp;""</f>
        <v/>
      </c>
      <c r="F55">
        <f>'Zero Trust'!F10&amp;""</f>
        <v/>
      </c>
      <c r="G55">
        <f>'Zero Trust'!L10</f>
        <v/>
      </c>
      <c r="H55">
        <f>'Zero Trust'!N10</f>
        <v/>
      </c>
      <c r="I55">
        <f>'Zero Trust'!M10</f>
        <v/>
      </c>
      <c r="J55">
        <f>'Zero Trust'!O10</f>
        <v/>
      </c>
      <c r="K55">
        <f>J55+(1000-ROW())/100000</f>
        <v/>
      </c>
      <c r="L55">
        <f>'Zero Trust'!H10</f>
        <v/>
      </c>
    </row>
    <row r="56">
      <c r="A56" t="inlineStr">
        <is>
          <t>Zero Trust</t>
        </is>
      </c>
      <c r="B56">
        <f>'Zero Trust'!A11&amp;""</f>
        <v/>
      </c>
      <c r="C56">
        <f>'Zero Trust'!B11&amp;""</f>
        <v/>
      </c>
      <c r="D56">
        <f>'Zero Trust'!C11&amp;""</f>
        <v/>
      </c>
      <c r="E56">
        <f>'Zero Trust'!K11&amp;""</f>
        <v/>
      </c>
      <c r="F56">
        <f>'Zero Trust'!F11&amp;""</f>
        <v/>
      </c>
      <c r="G56">
        <f>'Zero Trust'!L11</f>
        <v/>
      </c>
      <c r="H56">
        <f>'Zero Trust'!N11</f>
        <v/>
      </c>
      <c r="I56">
        <f>'Zero Trust'!M11</f>
        <v/>
      </c>
      <c r="J56">
        <f>'Zero Trust'!O11</f>
        <v/>
      </c>
      <c r="K56">
        <f>J56+(1000-ROW())/100000</f>
        <v/>
      </c>
      <c r="L56">
        <f>'Zero Trust'!H11</f>
        <v/>
      </c>
    </row>
    <row r="57">
      <c r="A57" t="inlineStr">
        <is>
          <t>Zero Trust</t>
        </is>
      </c>
      <c r="B57">
        <f>'Zero Trust'!A12&amp;""</f>
        <v/>
      </c>
      <c r="C57">
        <f>'Zero Trust'!B12&amp;""</f>
        <v/>
      </c>
      <c r="D57">
        <f>'Zero Trust'!C12&amp;""</f>
        <v/>
      </c>
      <c r="E57">
        <f>'Zero Trust'!K12&amp;""</f>
        <v/>
      </c>
      <c r="F57">
        <f>'Zero Trust'!F12&amp;""</f>
        <v/>
      </c>
      <c r="G57">
        <f>'Zero Trust'!L12</f>
        <v/>
      </c>
      <c r="H57">
        <f>'Zero Trust'!N12</f>
        <v/>
      </c>
      <c r="I57">
        <f>'Zero Trust'!M12</f>
        <v/>
      </c>
      <c r="J57">
        <f>'Zero Trust'!O12</f>
        <v/>
      </c>
      <c r="K57">
        <f>J57+(1000-ROW())/100000</f>
        <v/>
      </c>
      <c r="L57">
        <f>'Zero Trust'!H12</f>
        <v/>
      </c>
    </row>
    <row r="58">
      <c r="A58" t="inlineStr">
        <is>
          <t>Zero Trust</t>
        </is>
      </c>
      <c r="B58">
        <f>'Zero Trust'!A13&amp;""</f>
        <v/>
      </c>
      <c r="C58">
        <f>'Zero Trust'!B13&amp;""</f>
        <v/>
      </c>
      <c r="D58">
        <f>'Zero Trust'!C13&amp;""</f>
        <v/>
      </c>
      <c r="E58">
        <f>'Zero Trust'!K13&amp;""</f>
        <v/>
      </c>
      <c r="F58">
        <f>'Zero Trust'!F13&amp;""</f>
        <v/>
      </c>
      <c r="G58">
        <f>'Zero Trust'!L13</f>
        <v/>
      </c>
      <c r="H58">
        <f>'Zero Trust'!N13</f>
        <v/>
      </c>
      <c r="I58">
        <f>'Zero Trust'!M13</f>
        <v/>
      </c>
      <c r="J58">
        <f>'Zero Trust'!O13</f>
        <v/>
      </c>
      <c r="K58">
        <f>J58+(1000-ROW())/100000</f>
        <v/>
      </c>
      <c r="L58">
        <f>'Zero Trust'!H13</f>
        <v/>
      </c>
    </row>
    <row r="59">
      <c r="A59" t="inlineStr">
        <is>
          <t>Zero Trust</t>
        </is>
      </c>
      <c r="B59">
        <f>'Zero Trust'!A14&amp;""</f>
        <v/>
      </c>
      <c r="C59">
        <f>'Zero Trust'!B14&amp;""</f>
        <v/>
      </c>
      <c r="D59">
        <f>'Zero Trust'!C14&amp;""</f>
        <v/>
      </c>
      <c r="E59">
        <f>'Zero Trust'!K14&amp;""</f>
        <v/>
      </c>
      <c r="F59">
        <f>'Zero Trust'!F14&amp;""</f>
        <v/>
      </c>
      <c r="G59">
        <f>'Zero Trust'!L14</f>
        <v/>
      </c>
      <c r="H59">
        <f>'Zero Trust'!N14</f>
        <v/>
      </c>
      <c r="I59">
        <f>'Zero Trust'!M14</f>
        <v/>
      </c>
      <c r="J59">
        <f>'Zero Trust'!O14</f>
        <v/>
      </c>
      <c r="K59">
        <f>J59+(1000-ROW())/100000</f>
        <v/>
      </c>
      <c r="L59">
        <f>'Zero Trust'!H14</f>
        <v/>
      </c>
    </row>
    <row r="60">
      <c r="A60" t="inlineStr">
        <is>
          <t>Zero Trust</t>
        </is>
      </c>
      <c r="B60">
        <f>'Zero Trust'!A15&amp;""</f>
        <v/>
      </c>
      <c r="C60">
        <f>'Zero Trust'!B15&amp;""</f>
        <v/>
      </c>
      <c r="D60">
        <f>'Zero Trust'!C15&amp;""</f>
        <v/>
      </c>
      <c r="E60">
        <f>'Zero Trust'!K15&amp;""</f>
        <v/>
      </c>
      <c r="F60">
        <f>'Zero Trust'!F15&amp;""</f>
        <v/>
      </c>
      <c r="G60">
        <f>'Zero Trust'!L15</f>
        <v/>
      </c>
      <c r="H60">
        <f>'Zero Trust'!N15</f>
        <v/>
      </c>
      <c r="I60">
        <f>'Zero Trust'!M15</f>
        <v/>
      </c>
      <c r="J60">
        <f>'Zero Trust'!O15</f>
        <v/>
      </c>
      <c r="K60">
        <f>J60+(1000-ROW())/100000</f>
        <v/>
      </c>
      <c r="L60">
        <f>'Zero Trust'!H15</f>
        <v/>
      </c>
    </row>
    <row r="61">
      <c r="A61" t="inlineStr">
        <is>
          <t>Zero Trust</t>
        </is>
      </c>
      <c r="B61">
        <f>'Zero Trust'!A16&amp;""</f>
        <v/>
      </c>
      <c r="C61">
        <f>'Zero Trust'!B16&amp;""</f>
        <v/>
      </c>
      <c r="D61">
        <f>'Zero Trust'!C16&amp;""</f>
        <v/>
      </c>
      <c r="E61">
        <f>'Zero Trust'!K16&amp;""</f>
        <v/>
      </c>
      <c r="F61">
        <f>'Zero Trust'!F16&amp;""</f>
        <v/>
      </c>
      <c r="G61">
        <f>'Zero Trust'!L16</f>
        <v/>
      </c>
      <c r="H61">
        <f>'Zero Trust'!N16</f>
        <v/>
      </c>
      <c r="I61">
        <f>'Zero Trust'!M16</f>
        <v/>
      </c>
      <c r="J61">
        <f>'Zero Trust'!O16</f>
        <v/>
      </c>
      <c r="K61">
        <f>J61+(1000-ROW())/100000</f>
        <v/>
      </c>
      <c r="L61">
        <f>'Zero Trust'!H16</f>
        <v/>
      </c>
    </row>
    <row r="62">
      <c r="A62" t="inlineStr">
        <is>
          <t>Zero Trust</t>
        </is>
      </c>
      <c r="B62">
        <f>'Zero Trust'!A17&amp;""</f>
        <v/>
      </c>
      <c r="C62">
        <f>'Zero Trust'!B17&amp;""</f>
        <v/>
      </c>
      <c r="D62">
        <f>'Zero Trust'!C17&amp;""</f>
        <v/>
      </c>
      <c r="E62">
        <f>'Zero Trust'!K17&amp;""</f>
        <v/>
      </c>
      <c r="F62">
        <f>'Zero Trust'!F17&amp;""</f>
        <v/>
      </c>
      <c r="G62">
        <f>'Zero Trust'!L17</f>
        <v/>
      </c>
      <c r="H62">
        <f>'Zero Trust'!N17</f>
        <v/>
      </c>
      <c r="I62">
        <f>'Zero Trust'!M17</f>
        <v/>
      </c>
      <c r="J62">
        <f>'Zero Trust'!O17</f>
        <v/>
      </c>
      <c r="K62">
        <f>J62+(1000-ROW())/100000</f>
        <v/>
      </c>
      <c r="L62">
        <f>'Zero Trust'!H17</f>
        <v/>
      </c>
    </row>
    <row r="63">
      <c r="A63" t="inlineStr">
        <is>
          <t>Zero Trust</t>
        </is>
      </c>
      <c r="B63">
        <f>'Zero Trust'!A18&amp;""</f>
        <v/>
      </c>
      <c r="C63">
        <f>'Zero Trust'!B18&amp;""</f>
        <v/>
      </c>
      <c r="D63">
        <f>'Zero Trust'!C18&amp;""</f>
        <v/>
      </c>
      <c r="E63">
        <f>'Zero Trust'!K18&amp;""</f>
        <v/>
      </c>
      <c r="F63">
        <f>'Zero Trust'!F18&amp;""</f>
        <v/>
      </c>
      <c r="G63">
        <f>'Zero Trust'!L18</f>
        <v/>
      </c>
      <c r="H63">
        <f>'Zero Trust'!N18</f>
        <v/>
      </c>
      <c r="I63">
        <f>'Zero Trust'!M18</f>
        <v/>
      </c>
      <c r="J63">
        <f>'Zero Trust'!O18</f>
        <v/>
      </c>
      <c r="K63">
        <f>J63+(1000-ROW())/100000</f>
        <v/>
      </c>
      <c r="L63">
        <f>'Zero Trust'!H18</f>
        <v/>
      </c>
    </row>
    <row r="64">
      <c r="A64" t="inlineStr">
        <is>
          <t>Zero Trust</t>
        </is>
      </c>
      <c r="B64">
        <f>'Zero Trust'!A19&amp;""</f>
        <v/>
      </c>
      <c r="C64">
        <f>'Zero Trust'!B19&amp;""</f>
        <v/>
      </c>
      <c r="D64">
        <f>'Zero Trust'!C19&amp;""</f>
        <v/>
      </c>
      <c r="E64">
        <f>'Zero Trust'!K19&amp;""</f>
        <v/>
      </c>
      <c r="F64">
        <f>'Zero Trust'!F19&amp;""</f>
        <v/>
      </c>
      <c r="G64">
        <f>'Zero Trust'!L19</f>
        <v/>
      </c>
      <c r="H64">
        <f>'Zero Trust'!N19</f>
        <v/>
      </c>
      <c r="I64">
        <f>'Zero Trust'!M19</f>
        <v/>
      </c>
      <c r="J64">
        <f>'Zero Trust'!O19</f>
        <v/>
      </c>
      <c r="K64">
        <f>J64+(1000-ROW())/100000</f>
        <v/>
      </c>
      <c r="L64">
        <f>'Zero Trust'!H19</f>
        <v/>
      </c>
    </row>
    <row r="65">
      <c r="A65" t="inlineStr">
        <is>
          <t>Zero Trust</t>
        </is>
      </c>
      <c r="B65">
        <f>'Zero Trust'!A20&amp;""</f>
        <v/>
      </c>
      <c r="C65">
        <f>'Zero Trust'!B20&amp;""</f>
        <v/>
      </c>
      <c r="D65">
        <f>'Zero Trust'!C20&amp;""</f>
        <v/>
      </c>
      <c r="E65">
        <f>'Zero Trust'!K20&amp;""</f>
        <v/>
      </c>
      <c r="F65">
        <f>'Zero Trust'!F20&amp;""</f>
        <v/>
      </c>
      <c r="G65">
        <f>'Zero Trust'!L20</f>
        <v/>
      </c>
      <c r="H65">
        <f>'Zero Trust'!N20</f>
        <v/>
      </c>
      <c r="I65">
        <f>'Zero Trust'!M20</f>
        <v/>
      </c>
      <c r="J65">
        <f>'Zero Trust'!O20</f>
        <v/>
      </c>
      <c r="K65">
        <f>J65+(1000-ROW())/100000</f>
        <v/>
      </c>
      <c r="L65">
        <f>'Zero Trust'!H20</f>
        <v/>
      </c>
    </row>
    <row r="66">
      <c r="A66" t="inlineStr">
        <is>
          <t>Zero Trust</t>
        </is>
      </c>
      <c r="B66">
        <f>'Zero Trust'!A21&amp;""</f>
        <v/>
      </c>
      <c r="C66">
        <f>'Zero Trust'!B21&amp;""</f>
        <v/>
      </c>
      <c r="D66">
        <f>'Zero Trust'!C21&amp;""</f>
        <v/>
      </c>
      <c r="E66">
        <f>'Zero Trust'!K21&amp;""</f>
        <v/>
      </c>
      <c r="F66">
        <f>'Zero Trust'!F21&amp;""</f>
        <v/>
      </c>
      <c r="G66">
        <f>'Zero Trust'!L21</f>
        <v/>
      </c>
      <c r="H66">
        <f>'Zero Trust'!N21</f>
        <v/>
      </c>
      <c r="I66">
        <f>'Zero Trust'!M21</f>
        <v/>
      </c>
      <c r="J66">
        <f>'Zero Trust'!O21</f>
        <v/>
      </c>
      <c r="K66">
        <f>J66+(1000-ROW())/100000</f>
        <v/>
      </c>
      <c r="L66">
        <f>'Zero Trust'!H21</f>
        <v/>
      </c>
    </row>
    <row r="67">
      <c r="A67" t="inlineStr">
        <is>
          <t>Zero Trust</t>
        </is>
      </c>
      <c r="B67">
        <f>'Zero Trust'!A22&amp;""</f>
        <v/>
      </c>
      <c r="C67">
        <f>'Zero Trust'!B22&amp;""</f>
        <v/>
      </c>
      <c r="D67">
        <f>'Zero Trust'!C22&amp;""</f>
        <v/>
      </c>
      <c r="E67">
        <f>'Zero Trust'!K22&amp;""</f>
        <v/>
      </c>
      <c r="F67">
        <f>'Zero Trust'!F22&amp;""</f>
        <v/>
      </c>
      <c r="G67">
        <f>'Zero Trust'!L22</f>
        <v/>
      </c>
      <c r="H67">
        <f>'Zero Trust'!N22</f>
        <v/>
      </c>
      <c r="I67">
        <f>'Zero Trust'!M22</f>
        <v/>
      </c>
      <c r="J67">
        <f>'Zero Trust'!O22</f>
        <v/>
      </c>
      <c r="K67">
        <f>J67+(1000-ROW())/100000</f>
        <v/>
      </c>
      <c r="L67">
        <f>'Zero Trust'!H22</f>
        <v/>
      </c>
    </row>
    <row r="68">
      <c r="A68" t="inlineStr">
        <is>
          <t>Zero Trust</t>
        </is>
      </c>
      <c r="B68">
        <f>'Zero Trust'!A23&amp;""</f>
        <v/>
      </c>
      <c r="C68">
        <f>'Zero Trust'!B23&amp;""</f>
        <v/>
      </c>
      <c r="D68">
        <f>'Zero Trust'!C23&amp;""</f>
        <v/>
      </c>
      <c r="E68">
        <f>'Zero Trust'!K23&amp;""</f>
        <v/>
      </c>
      <c r="F68">
        <f>'Zero Trust'!F23&amp;""</f>
        <v/>
      </c>
      <c r="G68">
        <f>'Zero Trust'!L23</f>
        <v/>
      </c>
      <c r="H68">
        <f>'Zero Trust'!N23</f>
        <v/>
      </c>
      <c r="I68">
        <f>'Zero Trust'!M23</f>
        <v/>
      </c>
      <c r="J68">
        <f>'Zero Trust'!O23</f>
        <v/>
      </c>
      <c r="K68">
        <f>J68+(1000-ROW())/100000</f>
        <v/>
      </c>
      <c r="L68">
        <f>'Zero Trust'!H23</f>
        <v/>
      </c>
    </row>
    <row r="69">
      <c r="A69" t="inlineStr">
        <is>
          <t>Zero Trust</t>
        </is>
      </c>
      <c r="B69">
        <f>'Zero Trust'!A24&amp;""</f>
        <v/>
      </c>
      <c r="C69">
        <f>'Zero Trust'!B24&amp;""</f>
        <v/>
      </c>
      <c r="D69">
        <f>'Zero Trust'!C24&amp;""</f>
        <v/>
      </c>
      <c r="E69">
        <f>'Zero Trust'!K24&amp;""</f>
        <v/>
      </c>
      <c r="F69">
        <f>'Zero Trust'!F24&amp;""</f>
        <v/>
      </c>
      <c r="G69">
        <f>'Zero Trust'!L24</f>
        <v/>
      </c>
      <c r="H69">
        <f>'Zero Trust'!N24</f>
        <v/>
      </c>
      <c r="I69">
        <f>'Zero Trust'!M24</f>
        <v/>
      </c>
      <c r="J69">
        <f>'Zero Trust'!O24</f>
        <v/>
      </c>
      <c r="K69">
        <f>J69+(1000-ROW())/100000</f>
        <v/>
      </c>
      <c r="L69">
        <f>'Zero Trust'!H24</f>
        <v/>
      </c>
    </row>
    <row r="70">
      <c r="A70" t="inlineStr">
        <is>
          <t>Zero Trust</t>
        </is>
      </c>
      <c r="B70">
        <f>'Zero Trust'!A25&amp;""</f>
        <v/>
      </c>
      <c r="C70">
        <f>'Zero Trust'!B25&amp;""</f>
        <v/>
      </c>
      <c r="D70">
        <f>'Zero Trust'!C25&amp;""</f>
        <v/>
      </c>
      <c r="E70">
        <f>'Zero Trust'!K25&amp;""</f>
        <v/>
      </c>
      <c r="F70">
        <f>'Zero Trust'!F25&amp;""</f>
        <v/>
      </c>
      <c r="G70">
        <f>'Zero Trust'!L25</f>
        <v/>
      </c>
      <c r="H70">
        <f>'Zero Trust'!N25</f>
        <v/>
      </c>
      <c r="I70">
        <f>'Zero Trust'!M25</f>
        <v/>
      </c>
      <c r="J70">
        <f>'Zero Trust'!O25</f>
        <v/>
      </c>
      <c r="K70">
        <f>J70+(1000-ROW())/100000</f>
        <v/>
      </c>
      <c r="L70">
        <f>'Zero Trust'!H25</f>
        <v/>
      </c>
    </row>
    <row r="71">
      <c r="A71" t="inlineStr">
        <is>
          <t>Zero Trust</t>
        </is>
      </c>
      <c r="B71">
        <f>'Zero Trust'!A26&amp;""</f>
        <v/>
      </c>
      <c r="C71">
        <f>'Zero Trust'!B26&amp;""</f>
        <v/>
      </c>
      <c r="D71">
        <f>'Zero Trust'!C26&amp;""</f>
        <v/>
      </c>
      <c r="E71">
        <f>'Zero Trust'!K26&amp;""</f>
        <v/>
      </c>
      <c r="F71">
        <f>'Zero Trust'!F26&amp;""</f>
        <v/>
      </c>
      <c r="G71">
        <f>'Zero Trust'!L26</f>
        <v/>
      </c>
      <c r="H71">
        <f>'Zero Trust'!N26</f>
        <v/>
      </c>
      <c r="I71">
        <f>'Zero Trust'!M26</f>
        <v/>
      </c>
      <c r="J71">
        <f>'Zero Trust'!O26</f>
        <v/>
      </c>
      <c r="K71">
        <f>J71+(1000-ROW())/100000</f>
        <v/>
      </c>
      <c r="L71">
        <f>'Zero Trust'!H26</f>
        <v/>
      </c>
    </row>
    <row r="72">
      <c r="A72" t="inlineStr">
        <is>
          <t>Zero Trust</t>
        </is>
      </c>
      <c r="B72">
        <f>'Zero Trust'!A27&amp;""</f>
        <v/>
      </c>
      <c r="C72">
        <f>'Zero Trust'!B27&amp;""</f>
        <v/>
      </c>
      <c r="D72">
        <f>'Zero Trust'!C27&amp;""</f>
        <v/>
      </c>
      <c r="E72">
        <f>'Zero Trust'!K27&amp;""</f>
        <v/>
      </c>
      <c r="F72">
        <f>'Zero Trust'!F27&amp;""</f>
        <v/>
      </c>
      <c r="G72">
        <f>'Zero Trust'!L27</f>
        <v/>
      </c>
      <c r="H72">
        <f>'Zero Trust'!N27</f>
        <v/>
      </c>
      <c r="I72">
        <f>'Zero Trust'!M27</f>
        <v/>
      </c>
      <c r="J72">
        <f>'Zero Trust'!O27</f>
        <v/>
      </c>
      <c r="K72">
        <f>J72+(1000-ROW())/100000</f>
        <v/>
      </c>
      <c r="L72">
        <f>'Zero Trust'!H27</f>
        <v/>
      </c>
    </row>
    <row r="73">
      <c r="A73" t="inlineStr">
        <is>
          <t>Zero Trust</t>
        </is>
      </c>
      <c r="B73">
        <f>'Zero Trust'!A28&amp;""</f>
        <v/>
      </c>
      <c r="C73">
        <f>'Zero Trust'!B28&amp;""</f>
        <v/>
      </c>
      <c r="D73">
        <f>'Zero Trust'!C28&amp;""</f>
        <v/>
      </c>
      <c r="E73">
        <f>'Zero Trust'!K28&amp;""</f>
        <v/>
      </c>
      <c r="F73">
        <f>'Zero Trust'!F28&amp;""</f>
        <v/>
      </c>
      <c r="G73">
        <f>'Zero Trust'!L28</f>
        <v/>
      </c>
      <c r="H73">
        <f>'Zero Trust'!N28</f>
        <v/>
      </c>
      <c r="I73">
        <f>'Zero Trust'!M28</f>
        <v/>
      </c>
      <c r="J73">
        <f>'Zero Trust'!O28</f>
        <v/>
      </c>
      <c r="K73">
        <f>J73+(1000-ROW())/100000</f>
        <v/>
      </c>
      <c r="L73">
        <f>'Zero Trust'!H28</f>
        <v/>
      </c>
    </row>
    <row r="74">
      <c r="A74" t="inlineStr">
        <is>
          <t>Zero Trust</t>
        </is>
      </c>
      <c r="B74">
        <f>'Zero Trust'!A29&amp;""</f>
        <v/>
      </c>
      <c r="C74">
        <f>'Zero Trust'!B29&amp;""</f>
        <v/>
      </c>
      <c r="D74">
        <f>'Zero Trust'!C29&amp;""</f>
        <v/>
      </c>
      <c r="E74">
        <f>'Zero Trust'!K29&amp;""</f>
        <v/>
      </c>
      <c r="F74">
        <f>'Zero Trust'!F29&amp;""</f>
        <v/>
      </c>
      <c r="G74">
        <f>'Zero Trust'!L29</f>
        <v/>
      </c>
      <c r="H74">
        <f>'Zero Trust'!N29</f>
        <v/>
      </c>
      <c r="I74">
        <f>'Zero Trust'!M29</f>
        <v/>
      </c>
      <c r="J74">
        <f>'Zero Trust'!O29</f>
        <v/>
      </c>
      <c r="K74">
        <f>J74+(1000-ROW())/100000</f>
        <v/>
      </c>
      <c r="L74">
        <f>'Zero Trust'!H29</f>
        <v/>
      </c>
    </row>
    <row r="75">
      <c r="A75" t="inlineStr">
        <is>
          <t>Zero Trust</t>
        </is>
      </c>
      <c r="B75">
        <f>'Zero Trust'!A30&amp;""</f>
        <v/>
      </c>
      <c r="C75">
        <f>'Zero Trust'!B30&amp;""</f>
        <v/>
      </c>
      <c r="D75">
        <f>'Zero Trust'!C30&amp;""</f>
        <v/>
      </c>
      <c r="E75">
        <f>'Zero Trust'!K30&amp;""</f>
        <v/>
      </c>
      <c r="F75">
        <f>'Zero Trust'!F30&amp;""</f>
        <v/>
      </c>
      <c r="G75">
        <f>'Zero Trust'!L30</f>
        <v/>
      </c>
      <c r="H75">
        <f>'Zero Trust'!N30</f>
        <v/>
      </c>
      <c r="I75">
        <f>'Zero Trust'!M30</f>
        <v/>
      </c>
      <c r="J75">
        <f>'Zero Trust'!O30</f>
        <v/>
      </c>
      <c r="K75">
        <f>J75+(1000-ROW())/100000</f>
        <v/>
      </c>
      <c r="L75">
        <f>'Zero Trust'!H30</f>
        <v/>
      </c>
    </row>
    <row r="76">
      <c r="A76" t="inlineStr">
        <is>
          <t>Zero Trust</t>
        </is>
      </c>
      <c r="B76">
        <f>'Zero Trust'!A31&amp;""</f>
        <v/>
      </c>
      <c r="C76">
        <f>'Zero Trust'!B31&amp;""</f>
        <v/>
      </c>
      <c r="D76">
        <f>'Zero Trust'!C31&amp;""</f>
        <v/>
      </c>
      <c r="E76">
        <f>'Zero Trust'!K31&amp;""</f>
        <v/>
      </c>
      <c r="F76">
        <f>'Zero Trust'!F31&amp;""</f>
        <v/>
      </c>
      <c r="G76">
        <f>'Zero Trust'!L31</f>
        <v/>
      </c>
      <c r="H76">
        <f>'Zero Trust'!N31</f>
        <v/>
      </c>
      <c r="I76">
        <f>'Zero Trust'!M31</f>
        <v/>
      </c>
      <c r="J76">
        <f>'Zero Trust'!O31</f>
        <v/>
      </c>
      <c r="K76">
        <f>J76+(1000-ROW())/100000</f>
        <v/>
      </c>
      <c r="L76">
        <f>'Zero Trust'!H31</f>
        <v/>
      </c>
    </row>
    <row r="77">
      <c r="A77" t="inlineStr">
        <is>
          <t>Zero Trust</t>
        </is>
      </c>
      <c r="B77">
        <f>'Zero Trust'!A32&amp;""</f>
        <v/>
      </c>
      <c r="C77">
        <f>'Zero Trust'!B32&amp;""</f>
        <v/>
      </c>
      <c r="D77">
        <f>'Zero Trust'!C32&amp;""</f>
        <v/>
      </c>
      <c r="E77">
        <f>'Zero Trust'!K32&amp;""</f>
        <v/>
      </c>
      <c r="F77">
        <f>'Zero Trust'!F32&amp;""</f>
        <v/>
      </c>
      <c r="G77">
        <f>'Zero Trust'!L32</f>
        <v/>
      </c>
      <c r="H77">
        <f>'Zero Trust'!N32</f>
        <v/>
      </c>
      <c r="I77">
        <f>'Zero Trust'!M32</f>
        <v/>
      </c>
      <c r="J77">
        <f>'Zero Trust'!O32</f>
        <v/>
      </c>
      <c r="K77">
        <f>J77+(1000-ROW())/100000</f>
        <v/>
      </c>
      <c r="L77">
        <f>'Zero Trust'!H32</f>
        <v/>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K8"/>
  <sheetViews>
    <sheetView workbookViewId="0">
      <selection activeCell="A1" sqref="A1"/>
    </sheetView>
  </sheetViews>
  <sheetFormatPr baseColWidth="8" defaultRowHeight="15"/>
  <sheetData>
    <row r="1">
      <c r="A1" t="inlineStr">
        <is>
          <t>Answers</t>
        </is>
      </c>
      <c r="B1" t="inlineStr">
        <is>
          <t>Levels</t>
        </is>
      </c>
      <c r="C1" t="inlineStr">
        <is>
          <t>YesNoUnknown</t>
        </is>
      </c>
      <c r="D1" t="inlineStr">
        <is>
          <t>YesNo</t>
        </is>
      </c>
      <c r="E1" t="inlineStr">
        <is>
          <t>Hosting</t>
        </is>
      </c>
      <c r="F1" t="inlineStr">
        <is>
          <t>Decision</t>
        </is>
      </c>
      <c r="G1" t="inlineStr">
        <is>
          <t>OrgType</t>
        </is>
      </c>
      <c r="H1" t="inlineStr">
        <is>
          <t>Agreement</t>
        </is>
      </c>
      <c r="I1" t="inlineStr">
        <is>
          <t>M365Plan</t>
        </is>
      </c>
      <c r="J1" t="inlineStr">
        <is>
          <t>Deployed</t>
        </is>
      </c>
      <c r="K1" t="inlineStr">
        <is>
          <t>OneToFive</t>
        </is>
      </c>
    </row>
    <row r="2">
      <c r="A2" t="inlineStr">
        <is>
          <t>0 - Not in place</t>
        </is>
      </c>
      <c r="B2" t="inlineStr">
        <is>
          <t>Not in place</t>
        </is>
      </c>
      <c r="C2" t="inlineStr">
        <is>
          <t>Yes</t>
        </is>
      </c>
      <c r="D2" t="inlineStr">
        <is>
          <t>Yes</t>
        </is>
      </c>
      <c r="E2" t="inlineStr">
        <is>
          <t>On-premises</t>
        </is>
      </c>
      <c r="F2" t="inlineStr">
        <is>
          <t>Retire</t>
        </is>
      </c>
      <c r="G2" t="inlineStr">
        <is>
          <t>Critical access hospital</t>
        </is>
      </c>
      <c r="H2" t="inlineStr">
        <is>
          <t>Enterprise Agreement</t>
        </is>
      </c>
      <c r="I2" t="inlineStr">
        <is>
          <t>Microsoft 365 E3</t>
        </is>
      </c>
      <c r="J2" t="inlineStr">
        <is>
          <t>Yes</t>
        </is>
      </c>
      <c r="K2" t="n">
        <v>1</v>
      </c>
    </row>
    <row r="3">
      <c r="A3" t="inlineStr">
        <is>
          <t>1 - Initial</t>
        </is>
      </c>
      <c r="B3" t="inlineStr">
        <is>
          <t>Initial</t>
        </is>
      </c>
      <c r="C3" t="inlineStr">
        <is>
          <t>No</t>
        </is>
      </c>
      <c r="D3" t="inlineStr">
        <is>
          <t>No</t>
        </is>
      </c>
      <c r="E3" t="inlineStr">
        <is>
          <t>Cloud IaaS</t>
        </is>
      </c>
      <c r="F3" t="inlineStr">
        <is>
          <t>Retain</t>
        </is>
      </c>
      <c r="G3" t="inlineStr">
        <is>
          <t>Rural emergency hospital</t>
        </is>
      </c>
      <c r="H3" t="inlineStr">
        <is>
          <t>Cloud Solution Provider (CSP)</t>
        </is>
      </c>
      <c r="I3" t="inlineStr">
        <is>
          <t>Microsoft 365 E5</t>
        </is>
      </c>
      <c r="J3" t="inlineStr">
        <is>
          <t>Partial</t>
        </is>
      </c>
      <c r="K3" t="n">
        <v>2</v>
      </c>
    </row>
    <row r="4">
      <c r="A4" t="inlineStr">
        <is>
          <t>2 - Developing</t>
        </is>
      </c>
      <c r="B4" t="inlineStr">
        <is>
          <t>Developing</t>
        </is>
      </c>
      <c r="C4" t="inlineStr">
        <is>
          <t>Unknown</t>
        </is>
      </c>
      <c r="E4" t="inlineStr">
        <is>
          <t>Cloud PaaS</t>
        </is>
      </c>
      <c r="F4" t="inlineStr">
        <is>
          <t>Rehost</t>
        </is>
      </c>
      <c r="G4" t="inlineStr">
        <is>
          <t>Community hospital</t>
        </is>
      </c>
      <c r="H4" t="inlineStr">
        <is>
          <t>Microsoft Customer Agreement (MCA)</t>
        </is>
      </c>
      <c r="I4" t="inlineStr">
        <is>
          <t>Microsoft 365 Business Premium</t>
        </is>
      </c>
      <c r="J4" t="inlineStr">
        <is>
          <t>No</t>
        </is>
      </c>
      <c r="K4" t="n">
        <v>3</v>
      </c>
    </row>
    <row r="5">
      <c r="A5" t="inlineStr">
        <is>
          <t>3 - Defined</t>
        </is>
      </c>
      <c r="B5" t="inlineStr">
        <is>
          <t>Defined</t>
        </is>
      </c>
      <c r="E5" t="inlineStr">
        <is>
          <t>SaaS</t>
        </is>
      </c>
      <c r="F5" t="inlineStr">
        <is>
          <t>Replatform</t>
        </is>
      </c>
      <c r="G5" t="inlineStr">
        <is>
          <t>Health system</t>
        </is>
      </c>
      <c r="H5" t="inlineStr">
        <is>
          <t>Other or unknown</t>
        </is>
      </c>
      <c r="I5" t="inlineStr">
        <is>
          <t>Mixed</t>
        </is>
      </c>
      <c r="K5" t="n">
        <v>4</v>
      </c>
    </row>
    <row r="6">
      <c r="A6" t="inlineStr">
        <is>
          <t>4 - Optimized</t>
        </is>
      </c>
      <c r="B6" t="inlineStr">
        <is>
          <t>Optimized</t>
        </is>
      </c>
      <c r="E6" t="inlineStr">
        <is>
          <t>Hybrid</t>
        </is>
      </c>
      <c r="F6" t="inlineStr">
        <is>
          <t>Refactor</t>
        </is>
      </c>
      <c r="G6" t="inlineStr">
        <is>
          <t>Academic medical center</t>
        </is>
      </c>
      <c r="I6" t="inlineStr">
        <is>
          <t>Other or unknown</t>
        </is>
      </c>
      <c r="K6" t="n">
        <v>5</v>
      </c>
    </row>
    <row r="7">
      <c r="A7" t="inlineStr">
        <is>
          <t>N/A</t>
        </is>
      </c>
      <c r="F7" t="inlineStr">
        <is>
          <t>Replace</t>
        </is>
      </c>
      <c r="G7" t="inlineStr">
        <is>
          <t>Clinic or physician group</t>
        </is>
      </c>
    </row>
    <row r="8">
      <c r="F8" t="inlineStr">
        <is>
          <t>Isolate</t>
        </is>
      </c>
      <c r="G8" t="inlineStr">
        <is>
          <t>Other</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Andrade Consulting Services</dc:creator>
  <dc:title xmlns:dc="http://purl.org/dc/elements/1.1/">ACS Health Maturity Kit — Assessment Workbook</dc:title>
  <dcterms:created xmlns:dcterms="http://purl.org/dc/terms/" xmlns:xsi="http://www.w3.org/2001/XMLSchema-instance" xsi:type="dcterms:W3CDTF">2026-10-29T14:13:20Z</dcterms:created>
  <dcterms:modified xmlns:dcterms="http://purl.org/dc/terms/" xmlns:xsi="http://www.w3.org/2001/XMLSchema-instance" xsi:type="dcterms:W3CDTF">2026-10-29T14:13:20Z</dcterms:modified>
  <cp:version>0.1.0</cp:version>
</cp:coreProperties>
</file>